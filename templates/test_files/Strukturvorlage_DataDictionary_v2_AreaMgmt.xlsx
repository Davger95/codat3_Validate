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AppData\Local\Microsoft\Olk\Attachments\ooa-d36f4a1c-0344-458f-821b-f53b83446ff1\405cdedcf29524ccc0bfb744b53b10164421b81170fbab2613d621636d18dfc6\"/>
    </mc:Choice>
  </mc:AlternateContent>
  <xr:revisionPtr revIDLastSave="0" documentId="13_ncr:1_{8301B72F-3459-45EE-B02E-667C208574C2}" xr6:coauthVersionLast="47" xr6:coauthVersionMax="47" xr10:uidLastSave="{00000000-0000-0000-0000-000000000000}"/>
  <bookViews>
    <workbookView xWindow="30960" yWindow="930" windowWidth="25530" windowHeight="14865" tabRatio="525" firstSheet="5" activeTab="9" xr2:uid="{00000000-000D-0000-FFFF-FFFF00000000}"/>
  </bookViews>
  <sheets>
    <sheet name="Impressum" sheetId="1" r:id="rId1"/>
    <sheet name="Anleitung" sheetId="2" r:id="rId2"/>
    <sheet name="Dictionary_core" sheetId="3" r:id="rId3"/>
    <sheet name="Dictionary_public" sheetId="4" r:id="rId4"/>
    <sheet name="Objekte" sheetId="5" r:id="rId5"/>
    <sheet name="Merkmale" sheetId="6" r:id="rId6"/>
    <sheet name="Werte" sheetId="7" r:id="rId7"/>
    <sheet name="Dokumente" sheetId="8" r:id="rId8"/>
    <sheet name="Merkmalgruppen" sheetId="9" r:id="rId9"/>
    <sheet name="Data_Template" sheetId="10" r:id="rId10"/>
    <sheet name="Gelöschte Bauteile" sheetId="11" state="hidden" r:id="rId11"/>
    <sheet name="Dropdownregeln" sheetId="12" r:id="rId12"/>
  </sheets>
  <externalReferences>
    <externalReference r:id="rId13"/>
    <externalReference r:id="rId14"/>
    <externalReference r:id="rId15"/>
    <externalReference r:id="rId16"/>
  </externalReferences>
  <definedNames>
    <definedName name="_xlnm._FilterDatabase" localSheetId="5" hidden="1">Merkmale!$A$2:$V$60</definedName>
    <definedName name="_xlnm._FilterDatabase" localSheetId="8" hidden="1">Merkmalgruppen!$A$2:$N$60</definedName>
    <definedName name="Base_Type">Dropdownregeln!$E$2:$E$47</definedName>
    <definedName name="Beschreibung">Dropdownregeln!$F$2:$F$47</definedName>
    <definedName name="Category">Dropdownregeln!$D$2:$D$47</definedName>
    <definedName name="DataType">Dropdownregeln!$B$2:$B$47</definedName>
    <definedName name="DataTypes" localSheetId="9">#REF!</definedName>
    <definedName name="DataTypes" localSheetId="7">[1]Dropdownregeln!#REF!</definedName>
    <definedName name="FAIR_Prinzipien">Dropdownregeln!$I$2:$I$47</definedName>
    <definedName name="GLO_Object_Umsetzung" localSheetId="1">Anleitung!$F$167</definedName>
    <definedName name="GLO_Object_Zuordnung" localSheetId="1">Anleitung!$F$168</definedName>
    <definedName name="GLO_Object1" localSheetId="1">Anleitung!#REF!</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3" localSheetId="1">Anleitung!#REF!</definedName>
    <definedName name="GLO_Object4" localSheetId="1">Anleitung!#REF!</definedName>
    <definedName name="GLO_Object5" localSheetId="1">Anleitung!#REF!</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 localSheetId="1">Anleitung!#REF!</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4" localSheetId="1">Anleitung!#REF!</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IFC_Data_Type">Dropdownregeln!$C$2:$C$47</definedName>
    <definedName name="ISG___Informationssicherheitsgesetz">Dropdownregeln!$H$2:$H$47</definedName>
    <definedName name="Merkmalskatalog_Start" localSheetId="8">'[2]MG Katalog'!#REF!</definedName>
    <definedName name="Objekt_Einordnung">Dropdownregeln!$A$2:$A$47</definedName>
    <definedName name="Objektkatalog_Start" localSheetId="6">[3]Wertekatalog!#REF!</definedName>
    <definedName name="Status">Dropdownregeln!$G$2:$G$47</definedName>
    <definedName name="Units" localSheetId="7">[1]Dropdownregeln!#REF!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7" l="1"/>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10" i="7"/>
  <c r="G11" i="7"/>
  <c r="AE16" i="5"/>
  <c r="AE15" i="5"/>
  <c r="AE14" i="5"/>
  <c r="AE13" i="5"/>
  <c r="AE12" i="5"/>
  <c r="AE11" i="5"/>
  <c r="AE10" i="5"/>
  <c r="AE9" i="5"/>
  <c r="AE8" i="5"/>
  <c r="F2" i="10" l="1" a="1"/>
  <c r="F2" i="10" s="1"/>
  <c r="G60" i="7"/>
  <c r="G59" i="7"/>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tc={405CC5EC-ADE5-4B34-B76C-8F3AE8611E1A}</author>
  </authors>
  <commentList>
    <comment ref="Q7" authorId="0" shapeId="0" xr:uid="{405CC5EC-ADE5-4B34-B76C-8F3AE8611E1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Bezug zu welcher Spalte?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tc={ED7749C3-5C45-4506-9171-FB602A62DD21}</author>
    <author>tc={1AA58E4C-300F-4F3C-AB35-8E6DC3C16AC2}</author>
    <author>tc={8235AC3E-6B4C-40B7-8229-231FB4E19563}</author>
    <author>tc={5BBF9FE4-2183-4A44-BE6F-AED37EDFCAFB}</author>
  </authors>
  <commentList>
    <comment ref="F1" authorId="0" shapeId="0" xr:uid="{ED7749C3-5C45-4506-9171-FB602A62DD2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Werteliste-Code dazugefügt</t>
      </text>
    </comment>
    <comment ref="O1" authorId="1" shapeId="0" xr:uid="{1AA58E4C-300F-4F3C-AB35-8E6DC3C16AC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Muss hier nicht auf die Merkmale verlinkt werden?
</t>
      </text>
    </comment>
    <comment ref="G8" authorId="2" shapeId="0" xr:uid="{8235AC3E-6B4C-40B7-8229-231FB4E1956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Fehler in der Zelle, beim reinkopieren wird der Inhalt um 2 Zellen nach unten verschoben</t>
      </text>
    </comment>
    <comment ref="L17" authorId="3" shapeId="0" xr:uid="{5BBF9FE4-2183-4A44-BE6F-AED37EDFCA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Gint es beim Wert „Verkauf Möbel, Bau, Garten“ einen Fehler?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tc={5E397DCF-1A81-47FF-BE76-088FECD90F82}</author>
  </authors>
  <commentList>
    <comment ref="O1" authorId="0" shapeId="0" xr:uid="{5E397DCF-1A81-47FF-BE76-088FECD90F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Spalte löschen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<sst xmlns="http://schemas.openxmlformats.org/spreadsheetml/2006/main" count="2115" uniqueCount="940">
  <si>
    <t>Filter</t>
  </si>
  <si>
    <t>Hinweise zur Handhabung</t>
  </si>
  <si>
    <t>Strukturelle Einordnung</t>
  </si>
  <si>
    <t>Domäne</t>
  </si>
  <si>
    <t>System</t>
  </si>
  <si>
    <t>Kategorie</t>
  </si>
  <si>
    <t>Objekte</t>
  </si>
  <si>
    <t>GUID/URI</t>
  </si>
  <si>
    <t>Objekt-ID</t>
  </si>
  <si>
    <t>Objekt-Code</t>
  </si>
  <si>
    <t xml:space="preserve">Objekt-Einordnung </t>
  </si>
  <si>
    <t>Bezeichnung (DE)</t>
  </si>
  <si>
    <t>Designation (EN)</t>
  </si>
  <si>
    <t>Désignation (FR)</t>
  </si>
  <si>
    <t>Designazione (IT)</t>
  </si>
  <si>
    <t>Beschreibung (DE)</t>
  </si>
  <si>
    <t>Description (EN)</t>
  </si>
  <si>
    <t>Description (FR)</t>
  </si>
  <si>
    <t>Descrizione (IT)</t>
  </si>
  <si>
    <t xml:space="preserve"> IFC 4.3.2.0 (IFC4X3_ADD2)</t>
  </si>
  <si>
    <t>Objekte.IFC_URI</t>
  </si>
  <si>
    <t>IfcObject Entity</t>
  </si>
  <si>
    <t>IfcTypeObject Entity</t>
  </si>
  <si>
    <t>PredefinedType</t>
  </si>
  <si>
    <t>ObjectType</t>
  </si>
  <si>
    <t>Governance</t>
  </si>
  <si>
    <t>Status</t>
  </si>
  <si>
    <t>Versionsdatum</t>
  </si>
  <si>
    <t>Herkunft (PROV)</t>
  </si>
  <si>
    <t>Klassifikationen</t>
  </si>
  <si>
    <t>Objekte.RelatedDocument (Document-ID)</t>
  </si>
  <si>
    <t>Erforderlich für Merkmalkatalog</t>
  </si>
  <si>
    <t>Erforderlich für Data Dictionary</t>
  </si>
  <si>
    <t>Sprachen</t>
  </si>
  <si>
    <t>multilingual</t>
  </si>
  <si>
    <t>DE</t>
  </si>
  <si>
    <t>EN</t>
  </si>
  <si>
    <t>FR</t>
  </si>
  <si>
    <t>IT</t>
  </si>
  <si>
    <t>Referenziert / System generiert</t>
  </si>
  <si>
    <t>referenced</t>
  </si>
  <si>
    <t>system-generated</t>
  </si>
  <si>
    <t>Dropdown Liste</t>
  </si>
  <si>
    <t>Objekt-Einordnung</t>
  </si>
  <si>
    <t>Validierung</t>
  </si>
  <si>
    <t>user defined</t>
  </si>
  <si>
    <t>not validated. Info: If available system-generated URI / user defined backend reference</t>
  </si>
  <si>
    <t>system-generated from Designation (EN)</t>
  </si>
  <si>
    <t>must match Dropdownregeln.Objekt-Einordnung</t>
  </si>
  <si>
    <t>validated against identifiers from https://search.bsdd.buildingsmart.org/uri/buildingsmart/ifc/4.3</t>
  </si>
  <si>
    <t>validated against IFC 4.3 entity identifiers</t>
  </si>
  <si>
    <t>validated against IFC predefined types when applicable</t>
  </si>
  <si>
    <t>must match Dropdownregeln.Status</t>
  </si>
  <si>
    <t>date format YYYY-MM-DD</t>
  </si>
  <si>
    <t>must reference Dokumente.Document-ID or empty = Organisation</t>
  </si>
  <si>
    <t>Strukturvorlage Handlungsempfehlung Data Dictionaries</t>
  </si>
  <si>
    <t>Dokumenteninformationen</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</si>
  <si>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</si>
  <si>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</si>
  <si>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</si>
  <si>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</si>
  <si>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</si>
  <si>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</si>
  <si>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</si>
  <si>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</si>
  <si>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</si>
  <si>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</si>
  <si>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</si>
  <si>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</si>
  <si>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</si>
  <si>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</si>
  <si>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</si>
  <si>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</si>
  <si>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</si>
  <si>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</si>
  <si>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</si>
  <si>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</si>
  <si>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</si>
  <si>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</si>
  <si>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</si>
  <si>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</si>
  <si>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</si>
  <si>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</si>
  <si>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</si>
  <si>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</si>
  <si>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</si>
  <si>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</si>
  <si>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</si>
  <si>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</si>
  <si>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</si>
  <si>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</si>
  <si>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</si>
  <si>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</si>
  <si>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</si>
  <si>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</si>
  <si>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</si>
  <si>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</si>
  <si>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</si>
  <si>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</si>
  <si>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</si>
  <si>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</si>
  <si>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</si>
  <si>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</si>
  <si>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</si>
  <si>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</si>
  <si>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</si>
  <si>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</si>
  <si>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</si>
  <si>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</si>
  <si>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</si>
  <si>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</si>
  <si>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</si>
  <si>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</si>
  <si>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</si>
  <si>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</si>
  <si>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</si>
  <si>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</si>
  <si>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Merkmale</t>
  </si>
  <si>
    <t>Werteliste</t>
  </si>
  <si>
    <t>Dokumente</t>
  </si>
  <si>
    <t>B</t>
  </si>
  <si>
    <t>C</t>
  </si>
  <si>
    <t>D</t>
  </si>
  <si>
    <t>E</t>
  </si>
  <si>
    <t>Erforderlich</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</si>
  <si>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</si>
  <si>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</si>
  <si>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</si>
  <si>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</si>
  <si>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</si>
  <si>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Darf nicht vom Erstelle manuell ausgefüllt werden, sonern wird auf eine Quelle referenziert, resp. von eine Datenbank automatisch generiert</t>
  </si>
  <si>
    <t>Verweist auf die Dropdownliste in diesem Template</t>
  </si>
  <si>
    <t>Vorgabe einer minimalen Governance für die verschiedenen Kataloge</t>
  </si>
  <si>
    <t>Optional können aller Regeln der SN EN ISO 23386 ergänzt werden</t>
  </si>
  <si>
    <t>F</t>
  </si>
  <si>
    <t>G</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</si>
  <si>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</si>
  <si>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</si>
  <si>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</si>
  <si>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</si>
  <si>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</si>
  <si>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</si>
  <si>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</si>
  <si>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</si>
  <si>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</si>
  <si>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</si>
  <si>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</si>
  <si>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</si>
  <si>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</si>
  <si>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</si>
  <si>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</si>
  <si>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</si>
  <si>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</si>
  <si>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</si>
  <si>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</si>
  <si>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Bezeichnung</t>
  </si>
  <si>
    <t>Designation</t>
  </si>
  <si>
    <t>Beschreibung</t>
  </si>
  <si>
    <t>Description</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</si>
  <si>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</si>
  <si>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</si>
  <si>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</si>
  <si>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</si>
  <si>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</si>
  <si>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</si>
  <si>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</si>
  <si>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</si>
  <si>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</si>
  <si>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</si>
  <si>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</si>
  <si>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</si>
  <si>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</si>
  <si>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</si>
  <si>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</si>
  <si>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</si>
  <si>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</si>
  <si>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</si>
  <si>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</si>
  <si>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</si>
  <si>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</si>
  <si>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</si>
  <si>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</si>
  <si>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Location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</si>
  <si>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</si>
  <si>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</si>
  <si>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</si>
  <si>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</si>
  <si>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</si>
  <si>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</si>
  <si>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</si>
  <si>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</si>
  <si>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</si>
  <si>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MG</t>
  </si>
  <si>
    <t>Merkmal-ID</t>
  </si>
  <si>
    <t>Merkmal</t>
  </si>
  <si>
    <t>Property</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</si>
  <si>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</si>
  <si>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</si>
  <si>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</si>
  <si>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</si>
  <si>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</si>
  <si>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</si>
  <si>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</si>
  <si>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</si>
  <si>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</si>
  <si>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</si>
  <si>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</si>
  <si>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</si>
  <si>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</si>
  <si>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</si>
  <si>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</si>
  <si>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</si>
  <si>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</si>
  <si>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</si>
  <si>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</si>
  <si>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</si>
  <si>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</si>
  <si>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</si>
  <si>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</si>
  <si>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</si>
  <si>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</si>
  <si>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</si>
  <si>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</si>
  <si>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</si>
  <si>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</si>
  <si>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</si>
  <si>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</si>
  <si>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</si>
  <si>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Revision</t>
  </si>
  <si>
    <t>Owner</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</si>
  <si>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</si>
  <si>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</si>
  <si>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</si>
  <si>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</si>
  <si>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</si>
  <si>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</si>
  <si>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</si>
  <si>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</si>
  <si>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</si>
  <si>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</si>
  <si>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</si>
  <si>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</si>
  <si>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HE-SEM Data Dictionary — Core Metadata (mandatory authoring block)</t>
  </si>
  <si>
    <t>Field</t>
  </si>
  <si>
    <t>Value</t>
  </si>
  <si>
    <t>Requirement</t>
  </si>
  <si>
    <t>Notes / Maps to</t>
  </si>
  <si>
    <t>── IDENTIFICATION ──</t>
  </si>
  <si>
    <t>OrganizationCode</t>
  </si>
  <si>
    <t>REQUIRED</t>
  </si>
  <si>
    <t>Short org code — appears in all IRIs</t>
  </si>
  <si>
    <t>DictionaryCode</t>
  </si>
  <si>
    <t>Short dictionary code e.g. hesem-core</t>
  </si>
  <si>
    <t>DictionaryName (DE)</t>
  </si>
  <si>
    <t>Core authoring title in German — minimal DCAT/i14y anchor</t>
  </si>
  <si>
    <t>DictionaryName (FR)</t>
  </si>
  <si>
    <t>OPTIONAL</t>
  </si>
  <si>
    <t>Optional multilingual title support</t>
  </si>
  <si>
    <t>DictionaryName (EN)</t>
  </si>
  <si>
    <t>DictionaryVersion</t>
  </si>
  <si>
    <t>Semantic versioning: MAJOR.MINOR.PATCH</t>
  </si>
  <si>
    <t>DictionaryUri</t>
  </si>
  <si>
    <t>Base IRI — UseOwnUri always true</t>
  </si>
  <si>
    <t>Guide</t>
  </si>
  <si>
    <t>Private organisations may keep only this tab and delete Dictionary_public.</t>
  </si>
  <si>
    <t>── GOVERNANCE ──</t>
  </si>
  <si>
    <t>LifecycleStatus</t>
  </si>
  <si>
    <t>Governance state used to derive i14y registration status</t>
  </si>
  <si>
    <t>LEGEND:</t>
  </si>
  <si>
    <t>Must be filled before validation/export</t>
  </si>
  <si>
    <t>Fill if available</t>
  </si>
  <si>
    <t>HE-SEM Data Dictionary — Public Metadata (optional extended publication block)</t>
  </si>
  <si>
    <t>── GOVERNANCE / PUBLISHING ──</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</si>
  <si>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</si>
  <si>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</si>
  <si>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</si>
  <si>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</si>
  <si>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</si>
  <si>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</si>
  <si>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</si>
  <si>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</si>
  <si>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</si>
  <si>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</si>
  <si>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</si>
  <si>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</si>
  <si>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</si>
  <si>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</si>
  <si>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</si>
  <si>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</si>
  <si>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</si>
  <si>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</si>
  <si>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 DISCOVERY / CATALOG METADATA ──</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</si>
  <si>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</si>
  <si>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</si>
  <si>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</si>
  <si>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</si>
  <si>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</si>
  <si>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</si>
  <si>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</si>
  <si>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</si>
  <si>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</si>
  <si>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</si>
  <si>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</si>
  <si>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</si>
  <si>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</si>
  <si>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</si>
  <si>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</si>
  <si>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</si>
  <si>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</si>
  <si>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</si>
  <si>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</si>
  <si>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</si>
  <si>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 LICENSING ──</t>
  </si>
  <si>
    <t>License</t>
  </si>
  <si>
    <t>Human-readable license name — dct:license</t>
  </si>
  <si>
    <t>LicenseUrl</t>
  </si>
  <si>
    <t>Resolvable license URI/URL — dct:license</t>
  </si>
  <si>
    <t>── TECHNICAL ENDPOINTS ──</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</si>
  <si>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</si>
  <si>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</si>
  <si>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</si>
  <si>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</si>
  <si>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</si>
  <si>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</si>
  <si>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</si>
  <si>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</si>
  <si>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 STANDARDS ALIGNMENT ──</t>
  </si>
  <si>
    <t>ConformsTo_ISO23386</t>
  </si>
  <si>
    <t>dct:conformsTo — property methodology</t>
  </si>
  <si>
    <t>ConformsTo_ISO12006_3</t>
  </si>
  <si>
    <t>ConformsTo_DCAT_AP_CH</t>
  </si>
  <si>
    <t>VersionNotes (DE)</t>
  </si>
  <si>
    <t>VersionNotes (FR)</t>
  </si>
  <si>
    <t>VersionNotes (EN)</t>
  </si>
  <si>
    <t>Optional extended block: not part of the current minimal validator gate unless this tab is present/used; when filled, SchemaForge should consume it for publication payloads.</t>
  </si>
  <si>
    <t>Must be filled once Dictionary_public is used for publication metadata</t>
  </si>
  <si>
    <t>Merkmal-Code</t>
  </si>
  <si>
    <t>DataType
(Base Type)</t>
  </si>
  <si>
    <t>DataType
(IFC)</t>
  </si>
  <si>
    <t>IFC_URI</t>
  </si>
  <si>
    <t>IfcPropertySet (Pset)
IfcQuantitySet (Qto)</t>
  </si>
  <si>
    <t>Einheit-Code</t>
  </si>
  <si>
    <t>QUDT URI</t>
  </si>
  <si>
    <t>Unit Name (EN)</t>
  </si>
  <si>
    <t>Einheit-Name (DE)</t>
  </si>
  <si>
    <t>Nom de l’unité (FR)</t>
  </si>
  <si>
    <t>Nome unità (IT)</t>
  </si>
  <si>
    <t>Governance (Merkmale)</t>
  </si>
  <si>
    <t>DataType</t>
  </si>
  <si>
    <t>IFC Data Type</t>
  </si>
  <si>
    <t>must match Dropdownregeln.DataType</t>
  </si>
  <si>
    <t>must match Dropdownregeln.IFC Data Type</t>
  </si>
  <si>
    <t>must reference Werte.Werteliste-ID if used</t>
  </si>
  <si>
    <t>validated against IFC 4.3 property/quantity set identifiers when IFC_URI is present</t>
  </si>
  <si>
    <t>validated against QUDT unit ontology from https://qudt.org/tools/qudt-reference-explorer/</t>
  </si>
  <si>
    <t>system-generated from QUDT URI</t>
  </si>
  <si>
    <t>EnumerationValues
(EN)</t>
  </si>
  <si>
    <t>Werteliste
(DE)</t>
  </si>
  <si>
    <t>Liste de valeurs
(FR)</t>
  </si>
  <si>
    <t>Lista valori
(IT)</t>
  </si>
  <si>
    <t>Quelle (PROV)</t>
  </si>
  <si>
    <t>must use JSON-style list syntax, e.g. ["A", "B", "C"] or ["A", 1.5, "C"] for alphanumeric/numeric values</t>
  </si>
  <si>
    <t>URI</t>
  </si>
  <si>
    <t>Document-ID</t>
  </si>
  <si>
    <t>Document-Code</t>
  </si>
  <si>
    <t>DocumentName (EN)</t>
  </si>
  <si>
    <t>Sicherheitsstufe</t>
  </si>
  <si>
    <t>Zugänglichkeit</t>
  </si>
  <si>
    <t>DocumentOwner</t>
  </si>
  <si>
    <t>Governance (Dokumente)</t>
  </si>
  <si>
    <t>ISG - Informationssicherheitsgesetz</t>
  </si>
  <si>
    <t>FAIR Prinzipien</t>
  </si>
  <si>
    <t>system-generated from DocumentName (EN)</t>
  </si>
  <si>
    <t>must match Dropdownregeln.ISG - Informationssicherheitsgesetz</t>
  </si>
  <si>
    <t>must match Dropdownregeln.FAIR Prinzipien</t>
  </si>
  <si>
    <t>Merkmalgruppen</t>
  </si>
  <si>
    <t>Merkmalsgruppe-ID</t>
  </si>
  <si>
    <t>Merkmalsgruppe-Code</t>
  </si>
  <si>
    <t>Governance (Merkmalgruppen)</t>
  </si>
  <si>
    <t>Merkmalgruppe - Bezeichnung/Designation</t>
  </si>
  <si>
    <t>Merkmal - Bezeichnung/Designation</t>
  </si>
  <si>
    <t>Dokumente - Bezeichnung/Designation</t>
  </si>
  <si>
    <t>Objekt - Bezeichnung/Designation</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</si>
  <si>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</si>
  <si>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</si>
  <si>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</si>
  <si>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</si>
  <si>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</si>
  <si>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</si>
  <si>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</si>
  <si>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</si>
  <si>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</si>
  <si>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</si>
  <si>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</si>
  <si>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</si>
  <si>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</si>
  <si>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</si>
  <si>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</si>
  <si>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</si>
  <si>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</si>
  <si>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</si>
  <si>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</si>
  <si>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</si>
  <si>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</si>
  <si>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</si>
  <si>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</si>
  <si>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</si>
  <si>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</si>
  <si>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</si>
  <si>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</si>
  <si>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</si>
  <si>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</si>
  <si>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</si>
  <si>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</si>
  <si>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</si>
  <si>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</si>
  <si>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</si>
  <si>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</si>
  <si>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</si>
  <si>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</si>
  <si>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</si>
  <si>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</si>
  <si>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</si>
  <si>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</si>
  <si>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</si>
  <si>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</si>
  <si>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</si>
  <si>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</si>
  <si>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</si>
  <si>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</si>
  <si>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BOOLEAN</t>
  </si>
  <si>
    <t>nicht definiert</t>
  </si>
  <si>
    <t>n/a</t>
  </si>
  <si>
    <t>none</t>
  </si>
  <si>
    <t>Preview</t>
  </si>
  <si>
    <t>nicht klassifiziert</t>
  </si>
  <si>
    <t>Zugänglich kostenpflichtig</t>
  </si>
  <si>
    <t>Physische Bauteile</t>
  </si>
  <si>
    <t>CHARACTER</t>
  </si>
  <si>
    <t>IfcBoolean</t>
  </si>
  <si>
    <t>Simple Defined Type</t>
  </si>
  <si>
    <t>STRING</t>
  </si>
  <si>
    <t>Datum</t>
  </si>
  <si>
    <t>Active</t>
  </si>
  <si>
    <t>intern</t>
  </si>
  <si>
    <t>Zugänglich unentgeltlich</t>
  </si>
  <si>
    <t>Räumliche Struktur</t>
  </si>
  <si>
    <t>INTEGER</t>
  </si>
  <si>
    <t>IfcDate</t>
  </si>
  <si>
    <t>Datum und Zeit</t>
  </si>
  <si>
    <t>Inactive</t>
  </si>
  <si>
    <t>sensitiv</t>
  </si>
  <si>
    <t>Nicht zugänglich - kostenpflichtig</t>
  </si>
  <si>
    <t>Logische Zonen &amp; Gruppen</t>
  </si>
  <si>
    <t>REAL</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</si>
  <si>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</si>
  <si>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</si>
  <si>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</si>
  <si>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</si>
  <si>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</si>
  <si>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</si>
  <si>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</si>
  <si>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</si>
  <si>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</si>
  <si>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</si>
  <si>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</si>
  <si>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</si>
  <si>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</si>
  <si>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Candidate</t>
  </si>
  <si>
    <t>Ressourcen</t>
  </si>
  <si>
    <t>DATETIME</t>
  </si>
  <si>
    <t>IfcIdentifier</t>
  </si>
  <si>
    <t>Kurze Bezeichnung</t>
  </si>
  <si>
    <t>Recorded</t>
  </si>
  <si>
    <t>Prozesse &amp; Aufgaben</t>
  </si>
  <si>
    <t>IfcLabel</t>
  </si>
  <si>
    <t>Längerer Beschreibungstext</t>
  </si>
  <si>
    <t>Superseded</t>
  </si>
  <si>
    <t>IfcText</t>
  </si>
  <si>
    <t>Uhrzeit</t>
  </si>
  <si>
    <t>Incomplete</t>
  </si>
  <si>
    <t>IfcTime</t>
  </si>
  <si>
    <t>URI-Referenz</t>
  </si>
  <si>
    <t>IfcURIReference</t>
  </si>
  <si>
    <t>Flächenwert</t>
  </si>
  <si>
    <t>IfcInteger</t>
  </si>
  <si>
    <t>Energie</t>
  </si>
  <si>
    <t>IfcReal</t>
  </si>
  <si>
    <t>Kraft</t>
  </si>
  <si>
    <t>IfcAreaMeasure</t>
  </si>
  <si>
    <t>Measure Type</t>
  </si>
  <si>
    <t>Längenwert</t>
  </si>
  <si>
    <t>IfcLinearVelocityMeasure</t>
  </si>
  <si>
    <t>Geschwindigkeit</t>
  </si>
  <si>
    <t>IfcMassDensityMeasure</t>
  </si>
  <si>
    <t>Dichte</t>
  </si>
  <si>
    <t>IfcMassMeasure</t>
  </si>
  <si>
    <t>Massenwert</t>
  </si>
  <si>
    <t>IfcPlanarForceMeasure</t>
  </si>
  <si>
    <t>Kraft pro Längeneinheit in einer Ebene</t>
  </si>
  <si>
    <t>IfcPowerMeasure</t>
  </si>
  <si>
    <t>Leistung</t>
  </si>
  <si>
    <t>IfcPressureMeasure</t>
  </si>
  <si>
    <t>Druck</t>
  </si>
  <si>
    <t>IfcThermodynamicTemperatureMeasure</t>
  </si>
  <si>
    <t>Temperatur</t>
  </si>
  <si>
    <t>IfcTimeMeasure</t>
  </si>
  <si>
    <t>Zeitwert</t>
  </si>
  <si>
    <t>IfcVolumeMeasure</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</si>
  <si>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</si>
  <si>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</si>
  <si>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</si>
  <si>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</si>
  <si>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</si>
  <si>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</si>
  <si>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</si>
  <si>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</si>
  <si>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</si>
  <si>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</si>
  <si>
    <t>Vordefinierter Typ</t>
  </si>
  <si>
    <t>Objekttyp</t>
  </si>
  <si>
    <t>ID</t>
  </si>
  <si>
    <t>Raumbezeichnung</t>
  </si>
  <si>
    <t>LongName</t>
  </si>
  <si>
    <t>Flächenart SIA 416</t>
  </si>
  <si>
    <t>SIA_416_2003_Code</t>
  </si>
  <si>
    <t>SIA_416_2003_Label</t>
  </si>
  <si>
    <t>Raumbezeichnung SIA 380</t>
  </si>
  <si>
    <t>SIA_380_2015_Code</t>
  </si>
  <si>
    <t>SIA_380_2015_Label</t>
  </si>
  <si>
    <t>Raumnutzung SIA 2024</t>
  </si>
  <si>
    <t>SIA_2024_2021_Code</t>
  </si>
  <si>
    <t>SIA_2024_2021_Label</t>
  </si>
  <si>
    <t>Flächenart d0165</t>
  </si>
  <si>
    <t>SIA_d0615_2000_Code</t>
  </si>
  <si>
    <t>SIA_d0615_2000_Label</t>
  </si>
  <si>
    <t>Raumnutzung</t>
  </si>
  <si>
    <t>ProgramUse</t>
  </si>
  <si>
    <t>Raumtyp</t>
  </si>
  <si>
    <t>RoomType</t>
  </si>
  <si>
    <t>Einheitstyp</t>
  </si>
  <si>
    <t>UnitType</t>
  </si>
  <si>
    <t>Einheitsnummer</t>
  </si>
  <si>
    <t>Unit_ID</t>
  </si>
  <si>
    <t>Raumnummer_Betrieb</t>
  </si>
  <si>
    <t>RoomNumberFM</t>
  </si>
  <si>
    <t>Raumbeschriftung</t>
  </si>
  <si>
    <t>RoomSignalLabel</t>
  </si>
  <si>
    <t>Reinigungsgruppe</t>
  </si>
  <si>
    <t>CleaningGroup</t>
  </si>
  <si>
    <t>Flächenlast</t>
  </si>
  <si>
    <t>AreaLoad</t>
  </si>
  <si>
    <t>Punktlast</t>
  </si>
  <si>
    <t>PointLoad</t>
  </si>
  <si>
    <t>Energiebezugsfläche</t>
  </si>
  <si>
    <t>EnergyReferenceArea</t>
  </si>
  <si>
    <t>Fensterfläche</t>
  </si>
  <si>
    <t>WindowsCleaningArea</t>
  </si>
  <si>
    <t>Fenster öffenbar</t>
  </si>
  <si>
    <t>WindowsOpenable</t>
  </si>
  <si>
    <t>Raumnutzer</t>
  </si>
  <si>
    <t>Occupant</t>
  </si>
  <si>
    <t>Sonnenschutz</t>
  </si>
  <si>
    <t>Shading</t>
  </si>
  <si>
    <t>Befeuchtet</t>
  </si>
  <si>
    <t>IsHumidified</t>
  </si>
  <si>
    <t>Entfeuchtet</t>
  </si>
  <si>
    <t>IsDehumidified</t>
  </si>
  <si>
    <t>Vermietbarkeit</t>
  </si>
  <si>
    <t>IsRentable</t>
  </si>
  <si>
    <t>Aussenraum</t>
  </si>
  <si>
    <t>IsExternal</t>
  </si>
  <si>
    <t>Nutzungsart</t>
  </si>
  <si>
    <t>OccupancyType</t>
  </si>
  <si>
    <t>Raumnutzhöhe</t>
  </si>
  <si>
    <t>MinimumHeadroom</t>
  </si>
  <si>
    <t>Personenbelegung geplant</t>
  </si>
  <si>
    <t>OccupancyNumberPeak</t>
  </si>
  <si>
    <t>Personenbelegung ist</t>
  </si>
  <si>
    <t>OccupancyNumber</t>
  </si>
  <si>
    <t>Bodenbelag</t>
  </si>
  <si>
    <t>FloorCovering</t>
  </si>
  <si>
    <t>Wandbelag</t>
  </si>
  <si>
    <t>WallCovering</t>
  </si>
  <si>
    <t>Deckenmaterial</t>
  </si>
  <si>
    <t>CeilingCovering</t>
  </si>
  <si>
    <t>Natürliche Belüftung</t>
  </si>
  <si>
    <t>NaturalVentilation</t>
  </si>
  <si>
    <t>Natürliche Luftwechselrate</t>
  </si>
  <si>
    <t>NaturalVentilationRate</t>
  </si>
  <si>
    <t>Mechanische Belüftung</t>
  </si>
  <si>
    <t>MechanicalVentilation</t>
  </si>
  <si>
    <t>Mechanische Luftwechselrate</t>
  </si>
  <si>
    <t>MechanicalVentilationRate</t>
  </si>
  <si>
    <t>Klimatisiert</t>
  </si>
  <si>
    <t>AirConditioning</t>
  </si>
  <si>
    <t>Temperatur Ziel</t>
  </si>
  <si>
    <t>TemperatureSetPoint</t>
  </si>
  <si>
    <t>Luftfeuchtigkeit Ziel</t>
  </si>
  <si>
    <t>HumiditySetPoint</t>
  </si>
  <si>
    <t>Fluchtweg</t>
  </si>
  <si>
    <t>FireExit</t>
  </si>
  <si>
    <t>Bruttofläche</t>
  </si>
  <si>
    <t>GrossFloorArea</t>
  </si>
  <si>
    <t>Bruttovolumen</t>
  </si>
  <si>
    <t>GrossVolume</t>
  </si>
  <si>
    <t>Nettofläche</t>
  </si>
  <si>
    <t>NetFloorArea</t>
  </si>
  <si>
    <t>Nettovolumen</t>
  </si>
  <si>
    <t>NetVolume</t>
  </si>
  <si>
    <t>Wandfläche netto</t>
  </si>
  <si>
    <t>NetWallArea</t>
  </si>
  <si>
    <t>Höhe</t>
  </si>
  <si>
    <t>Height</t>
  </si>
  <si>
    <t>Oberirdisch</t>
  </si>
  <si>
    <t>AboveGround</t>
  </si>
  <si>
    <t>Kostenzone</t>
  </si>
  <si>
    <t>CostZone</t>
  </si>
  <si>
    <t>https://identifier.buildingsmart.org/uri/buildingsmart/ifc/4.3/prop/IsExternal</t>
  </si>
  <si>
    <t>https://identifier.buildingsmart.org/uri/buildingsmart/ifc/4.3/prop/OccupancyType</t>
  </si>
  <si>
    <t>https://identifier.buildingsmart.org/uri/buildingsmart/ifc/4.3/prop/OccupancyNumberPeak</t>
  </si>
  <si>
    <t>https://identifier.buildingsmart.org/uri/buildingsmart/ifc/4.3/prop/OccupancyNumber</t>
  </si>
  <si>
    <t>https://identifier.buildingsmart.org/uri/buildingsmart/ifc/4.3/prop/FloorCovering</t>
  </si>
  <si>
    <t>https://identifier.buildingsmart.org/uri/buildingsmart/ifc/4.3/prop/WallCovering</t>
  </si>
  <si>
    <t>https://identifier.buildingsmart.org/uri/buildingsmart/ifc/4.3/prop/CeilingCovering</t>
  </si>
  <si>
    <t>https://identifier.buildingsmart.org/uri/buildingsmart/ifc/4.3/prop/NaturalVentilation</t>
  </si>
  <si>
    <t>https://identifier.buildingsmart.org/uri/buildingsmart/ifc/4.3/prop/NaturalVentilationRate</t>
  </si>
  <si>
    <t>https://identifier.buildingsmart.org/uri/buildingsmart/ifc/4.3/prop/MechanicalVentilation</t>
  </si>
  <si>
    <t>https://identifier.buildingsmart.org/uri/buildingsmart/ifc/4.3/prop/MechanicalVentilationRate</t>
  </si>
  <si>
    <t>https://identifier.buildingsmart.org/uri/buildingsmart/ifc/4.3/prop/AirConditioning</t>
  </si>
  <si>
    <t>https://identifier.buildingsmart.org/uri/buildingsmart/ifc/4.3/prop/TemperatureSetPoint</t>
  </si>
  <si>
    <t>https://identifier.buildingsmart.org/uri/buildingsmart/ifc/4.3/prop/HumiditySetPoint</t>
  </si>
  <si>
    <t>https://identifier.buildingsmart.org/uri/buildingsmart/ifc/4.3/prop/FireExit</t>
  </si>
  <si>
    <t>https://identifier.buildingsmart.org/uri/buildingsmart/ifc/4.3/prop/GrossFloorArea</t>
  </si>
  <si>
    <t>https://identifier.buildingsmart.org/uri/buildingsmart/ifc/4.3/prop/GrossVolume</t>
  </si>
  <si>
    <t>https://identifier.buildingsmart.org/uri/buildingsmart/ifc/4.3/prop/NetFloorArea</t>
  </si>
  <si>
    <t>https://identifier.buildingsmart.org/uri/buildingsmart/ifc/4.3/prop/NetVolume</t>
  </si>
  <si>
    <t>https://identifier.buildingsmart.org/uri/buildingsmart/ifc/4.3/prop/Height</t>
  </si>
  <si>
    <t>Eindeutige Raumnummer bzw. Geschossnummer gemäss Nummerierungskonzept</t>
  </si>
  <si>
    <t>Unique room number or floor number according to numbering scheme</t>
  </si>
  <si>
    <t>Klassifizierung gemäss SIA 416 / 2003</t>
  </si>
  <si>
    <t>Classification according to SIA 416 / 2003</t>
  </si>
  <si>
    <t>Klassifizierung gemäss SIA 380 / 2015</t>
  </si>
  <si>
    <t>Classification according to SIA 380 / 2015</t>
  </si>
  <si>
    <t>Klassifizierung gemäss SIA 2024 / 2021</t>
  </si>
  <si>
    <t>Classification according to SIA 2024 / 2021</t>
  </si>
  <si>
    <t>Klassifizierung gemäss SIA D 0165 / 2000</t>
  </si>
  <si>
    <t>Classification according to SIA D 0165 / 2000</t>
  </si>
  <si>
    <t>Raumnutzung gemäss Raumprogramm</t>
  </si>
  <si>
    <t>Room usage according to room programme</t>
  </si>
  <si>
    <t>Raumtyp (Funktionstyp) gemäss Raumkatalog (Raumdatenblätter)</t>
  </si>
  <si>
    <t>Room type (functional type) according to room catalogue (room data sheets)</t>
  </si>
  <si>
    <t>Einheitstyp, insb. Wohnungstyp
z.B. 3,5-Zi</t>
  </si>
  <si>
    <t>Unit type, in particular dwelling type (e.g. 3.5-room flat)</t>
  </si>
  <si>
    <t>Eindeutige Einheitsnummer (ID) gemäss Nummerierungskonzept für Verkaufs- bzw. Mieteinheiten, z.B. Wohnungsnummer</t>
  </si>
  <si>
    <t>Unique unit number (ID) according to numbering scheme for sale or rental units (e.g. apartment number)</t>
  </si>
  <si>
    <t>Raumnummer Betrieb</t>
  </si>
  <si>
    <t>Operational room number</t>
  </si>
  <si>
    <t>Raum beschriftet</t>
  </si>
  <si>
    <t>Room labelled</t>
  </si>
  <si>
    <t>Cleaning group</t>
  </si>
  <si>
    <t>Area load</t>
  </si>
  <si>
    <t>Point load</t>
  </si>
  <si>
    <t>Energy reference area</t>
  </si>
  <si>
    <t>Window area</t>
  </si>
  <si>
    <t>Fenster Öffenbar</t>
  </si>
  <si>
    <t>Window openable</t>
  </si>
  <si>
    <t>Room occupant</t>
  </si>
  <si>
    <t>Solar shading</t>
  </si>
  <si>
    <t>Humidified</t>
  </si>
  <si>
    <t>Dehumidified</t>
  </si>
  <si>
    <t>Letting suitability</t>
  </si>
  <si>
    <t>Angabe, ob das Element für die Verwendung im Aussenbereich vorgesehen ist (TRUE) oder nicht (FALSE). Bei (TRUE) handelt es sich um ein Aussenelement, das ein Gebäude nach außen abschliesst.</t>
  </si>
  <si>
    <t>Indicates whether the element is intended for outdoor use (TRUE) or not (FALSE). If set to (TRUE), the element is an external element that forms the outer boundary of a building.</t>
  </si>
  <si>
    <t>Nutzungsart dieses Objekts; sie wird gemäss den geltenden nationalen Bauvorschriften definiert.</t>
  </si>
  <si>
    <t>Occupancy type for this object.; It is defined according to the presiding national building code.</t>
  </si>
  <si>
    <t>Lichte Höhe</t>
  </si>
  <si>
    <t>Effective clear height</t>
  </si>
  <si>
    <t>Maximale Anzahl Personen für die zugewiesene Nutzung dieses Raums in Spitzenzeiten.</t>
  </si>
  <si>
    <t>Maximal number of people required for the activity assigned to this space in peak time.</t>
  </si>
  <si>
    <t>Anzahl Personen für die zugewiesene Nutzung dieses Raums.</t>
  </si>
  <si>
    <t>Number of people required for the activity assigned to this space.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</si>
  <si>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</si>
  <si>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</si>
  <si>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</si>
  <si>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r>
      <t>Label to indicate the material or finish of the space cladding. The label is used for room book information and often displayed in room stamp.The material information is provided in absence of an </t>
    </r>
    <r>
      <rPr>
        <sz val="11"/>
        <color rgb="FF6750A4"/>
        <rFont val="Arial"/>
        <family val="2"/>
      </rPr>
      <t>Covering</t>
    </r>
    <r>
      <rPr>
        <sz val="11"/>
        <color rgb="FF000000"/>
        <rFont val="Arial"/>
        <family val="2"/>
      </rPr>
      <t> (type=CLADDING) object with own shape representation and material assignment. In case of inconsistency the material assigned to </t>
    </r>
    <r>
      <rPr>
        <sz val="11"/>
        <color rgb="FF6750A4"/>
        <rFont val="Arial"/>
        <family val="2"/>
      </rPr>
      <t>Covering</t>
    </r>
    <r>
      <rPr>
        <sz val="11"/>
        <color rgb="FF000000"/>
        <rFont val="Arial"/>
        <family val="2"/>
      </rPr>
      <t> elements takes precedence</t>
    </r>
  </si>
  <si>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</si>
  <si>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</si>
  <si>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Angabe, ob für den Raum natürliche Lüftung erforderlich ist (TRUE) oder nicht (FALSE).</t>
  </si>
  <si>
    <t>Indication whether the space is required to have natural ventilation (TRUE), or not (FALSE).</t>
  </si>
  <si>
    <t>Angabe der erforderlichen natürlichen Luftwechselrate (in Luftwechseln pro Stunde).</t>
  </si>
  <si>
    <t>Indication of the requirement of a particular natural air ventilation rate, given in air changes per hour.</t>
  </si>
  <si>
    <t>Angabe, ob für den Raum mechanische Lüftung erforderlich ist (TRUE) oder nicht (FALSE).</t>
  </si>
  <si>
    <t>Indication whether the space is required to have mechanical ventilation (TRUE), or not (FALSE).</t>
  </si>
  <si>
    <t>Angabe der erforderlichen mechanischen Luftwechselrate (in Luftwechseln pro Stunde).</t>
  </si>
  <si>
    <t>Indication of the requirement of a particular mechanical air ventilation rate, given in air changes per hour.</t>
  </si>
  <si>
    <t>Angabe, ob für diesen Raum eine Klimatisierung erforderlich ist (TRUE) oder nicht (FALSE).</t>
  </si>
  <si>
    <t>Indication whether this space requires air conditioning provided (TRUE) or not (FALSE).</t>
  </si>
  <si>
    <t>Temperatur-Sollwertbereich und Standard-Sollwert.</t>
  </si>
  <si>
    <t>The temperature setpoint range and default setpoint.</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</si>
  <si>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</si>
  <si>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Humidity of the space or zone that is required from user/designer view point. If no summer or winter space humidity requirements are given, it applies all year, otherwise for the intermediate period. Provide this property, if no humidity range (Min-Max) is available.</t>
  </si>
  <si>
    <t>Angabe, ob dieses Objekt im Brandfall als Ausgang dient (TRUE) oder nicht (FALSE).</t>
  </si>
  <si>
    <t>Indication whether this object is designed to serve as an exit in the case of fire (TRUE) or not (FALSE).</t>
  </si>
  <si>
    <t>Summe aller Bruttogrundflächen innerhalb des räumlichen Strukturelements.</t>
  </si>
  <si>
    <t>Sum of all gross floor areas within the spatial structure element</t>
  </si>
  <si>
    <t>Gesamtes Bruttovolumen des Objekts. Öffnungen, Aussparungen, eingeschlossene Objekte und Vorsprünge werden nicht berücksichtigt.</t>
  </si>
  <si>
    <t>Total gross volume of the object. Openings, recesses, enclosed objects and projections are not taken into account.</t>
  </si>
  <si>
    <t>Summe aller Nettogrundflächen.</t>
  </si>
  <si>
    <t>Sum of all net usable floor areas.</t>
  </si>
  <si>
    <t>Gesamtes Nettovolumen des Objekts unter Berücksichtigung von Bearbeitungen (z. B. Ausschnitte) sowie Öffnungen und Aussparungen.</t>
  </si>
  <si>
    <t>Total net volume of the object, taking into account possible processing features (cut-out's, etc.) or openings and recesses.</t>
  </si>
  <si>
    <t>Summe aller Wandflächen (und anderer vertikal begrenzender Elemente wie Stützen), die den Raum begrenzen. Flächenanteile von Einbauten innerhalb der Wand (Türen, Fenster, Öffnungen usw.) werden nicht berücksichtigt.</t>
  </si>
  <si>
    <t>Sum of all wall (and other vertically bounding elements, like columns) areas bounded by the space. It excludes the area covered by elements inside the wall area (doors, windows, other openings, etc.).</t>
  </si>
  <si>
    <t>Angabe, ob sich dieses Stockwerk vollständig über der Erde (TRUE), unter der Erde (FALSE) oder teilweise über und unter der Erde (UNKNOWN) befindet – beispielsweise bei abschüssigem Gelände.</t>
  </si>
  <si>
    <t>Indication whether this building storey is fully above ground (TRUE), or below ground (FALSE), or partially above and below ground (UNKNOWN) - as in sloped terrain.</t>
  </si>
  <si>
    <t>Kostenzone: für die Kostenaufteilung nach kommerzieller Nutzung bzw. Investor und/oder Verkaufsprodukt (Business Line)</t>
  </si>
  <si>
    <t>Cost zone: for cost allocation according to commercial use, investor and/or sales product (business line)</t>
  </si>
  <si>
    <t>IfcForceMeasure</t>
  </si>
  <si>
    <t>IfcLengthMeasure</t>
  </si>
  <si>
    <t>(IfcSpace attribute)</t>
  </si>
  <si>
    <t>(IfcObject attribute)</t>
  </si>
  <si>
    <t>(IfcRoot attribute)</t>
  </si>
  <si>
    <t>(IfcSpatialElement attribute)</t>
  </si>
  <si>
    <t>Pset_SpaceCommon</t>
  </si>
  <si>
    <t>Pset_SpaceOccupancyRequirements</t>
  </si>
  <si>
    <t>Pset_SpaceCoveringRequirements</t>
  </si>
  <si>
    <t xml:space="preserve"> </t>
  </si>
  <si>
    <t>Pset_SpaceFireSafetyRequirements</t>
  </si>
  <si>
    <t>Qto_SpaceBaseQuantities</t>
  </si>
  <si>
    <t>BdCH</t>
  </si>
  <si>
    <t>1,2,3,4,5,6,7,8,9,10</t>
  </si>
  <si>
    <t>1.01;1.02;2.01;2.02;3.01;3.02;3.03;3.04;4.01;4.02;4.03;4.04;4.05;5.01;5.02;5.03;6.01;6.02;6.03;6.04;7.01;7.02;7.03;8.01;8.02;8.03;9.01;9.02;9.03;10.01;11.01;11.02;11.03;12.01;12.02;12.03;12.04;12.05;12.06;12.07;12.08;12.09;12.10;12.11;12.12</t>
  </si>
  <si>
    <t>1.1,1.2,1.3,1.4,1.5,1.6,2.1,2.2,2.3,2.4,2.5,2.6,2.7,2.8,3.1,3.2,3.3,3.4,3.5,3.6,3.7,3.8,3.9,4.1,4.2,4.3,4.4,4.5,4.6,5.1,5.2,5.3,5.4,5.5,5.6,5.7,5.8,5.9,6.1,6.2,6.3,6.4,6.5,6.6,6.7,6.8,7.1,7.2,7.3,7.4,7.5,7.6,7.7,8.1,8.2,8.3,8.4,8.5,8.6,8.7,8.8,8.9,9.1,9.2,9.3,9.4,10.1</t>
  </si>
  <si>
    <t>"GFA","PARKING","USERDEFINED"</t>
  </si>
  <si>
    <t>"SITE_AREA","LANDSCAPE_AREA","ROOM,EXTERNAL_ROOM","RENTABLE_AREA"</t>
  </si>
  <si>
    <t>Geschossebene</t>
  </si>
  <si>
    <t>Grundstückfläche</t>
  </si>
  <si>
    <t>Umgebungsfläche</t>
  </si>
  <si>
    <t>Geschossvolumen</t>
  </si>
  <si>
    <t>Nettogeschossfläche</t>
  </si>
  <si>
    <t>Aussen-Nettogeschossfläche</t>
  </si>
  <si>
    <t>Stellplatz</t>
  </si>
  <si>
    <t>Vermietbare Fläche</t>
  </si>
  <si>
    <t>Elevation</t>
  </si>
  <si>
    <t>Site area</t>
  </si>
  <si>
    <t>Surrounding area</t>
  </si>
  <si>
    <t>Gross floor area</t>
  </si>
  <si>
    <t>Room</t>
  </si>
  <si>
    <t>External room</t>
  </si>
  <si>
    <t>Parking space</t>
  </si>
  <si>
    <t>Rentable area</t>
  </si>
  <si>
    <t>Parzellenfläche (Grundstückfläche gemäss SIA 416)</t>
  </si>
  <si>
    <t>Umgebungsfläche gemäss SIA 416</t>
  </si>
  <si>
    <t>Volumetrische Darstellung der Geschossflächen (brutto) und Geschossvolumen gemäss SIA 416</t>
  </si>
  <si>
    <t>Innenräume (Nettogeschossflächen gemäss SIA 416)</t>
  </si>
  <si>
    <t>Aussenräume (Aussen-Nettogeschossflächen gemäss SIA 416)</t>
  </si>
  <si>
    <t>Stellplätze wie z.B. Autoparkplatz, Mofa-Parkplatz, Velostellplatz, Feuerwehrstellplatz</t>
  </si>
  <si>
    <t>Darstellung der vermietbaren Fläche, insofern diese von den Nettoraumflächen differiert</t>
  </si>
  <si>
    <t>Site area (plot area according to SIA 416)</t>
  </si>
  <si>
    <t>Surrounding area according to SIA 416</t>
  </si>
  <si>
    <t>Volumetric representation of gross floor areas and storey volumes according to SIA 416</t>
  </si>
  <si>
    <t>Internal spaces (net floor areas according to SIA 416)</t>
  </si>
  <si>
    <t>External spaces (external net floor areas according to SIA 416)</t>
  </si>
  <si>
    <t>Parking spaces such as car parking spaces, moped parking, bicycle parking, fire service access/parking bays</t>
  </si>
  <si>
    <t>Representation of lettable area where this differs from net floor areas</t>
  </si>
  <si>
    <t>https://identifier.buildingsmart.org/uri/buildingsmart/ifc/4.3/class/IfcSpace</t>
  </si>
  <si>
    <t>IfcBuildingStorey</t>
  </si>
  <si>
    <t>IfcSpace</t>
  </si>
  <si>
    <t>USERDEFINED</t>
  </si>
  <si>
    <t>GFA</t>
  </si>
  <si>
    <t>PARKING</t>
  </si>
  <si>
    <t>SITE_AREA</t>
  </si>
  <si>
    <t>SURROUNDING_AREA</t>
  </si>
  <si>
    <t>ROOM</t>
  </si>
  <si>
    <t>EXTERNAL_ROOM</t>
  </si>
  <si>
    <t>RENTABLE_AREA</t>
  </si>
  <si>
    <t>active</t>
  </si>
  <si>
    <t>2026-06-18T15:30+02:00</t>
  </si>
  <si>
    <t>https://www.kbob.admin.ch/dam/de/sd-web/2VV0AVojWznW/20240424_KBOB-IPB_Anhang_C_-_Dokumenttypenkatalog_2016_DE.xlsx</t>
  </si>
  <si>
    <t>Dokumenttypenkatalog</t>
  </si>
  <si>
    <t>2016</t>
  </si>
  <si>
    <t>KBOB</t>
  </si>
  <si>
    <t>BdCH_AreaMgmt</t>
  </si>
  <si>
    <t>1.2,1.2.1,1.2.2</t>
  </si>
  <si>
    <t>2.1.1.1,2.1.1.2,2.1.2,2.1.3</t>
  </si>
  <si>
    <t>"Wohnräume","Gemeinschaftsräume","Pausenräume","Warteräume","Speiseräume","Hafträume","Büroräume","Grossraumbüros","Besprechungsräume","Konstruktionsräume","Schalterräume","Bedienungsräume","Aufsichtsräume","Bürotechnikräume","Werkhallen","Werkstätten","Technologische Labors","Physikalische, physikaltechnische, elektrotechnische Labors","Chemische, bekteriologische, morphologische Labors","Räume für Tierhaltung","Räume für Pflanzenzucht","Küchen","Sonderarbeitsräume","Lagerräume","Archive, Sammlungsräume","Kühlräume","Annahme- und Ausgaberäume","Verkaufsräume","Ausstellungsräume","Unterrichtsräume mit festem Gestühl","Allgemein Unterrichts- und Übungsräume ohne festes Gestühl","Besondere Unterrichts- und Übungsräume ohne festes Gestühl","Bibliotheksräume","Sporträume","Versammlungsräume","Bühnen-, Studioräume","Schauräume","Sakralräume","Räume mit allgemeiner medizinischen Ausstattung","Räume mit besonderer medizinischen Ausstattung","Räume für operative Eingriffe, Endoskopien und Entbindungen","Räume für Strahlendiagnostik","Räume für Strahlentherapie","Räume für Physiotherapie und Rehabilitation","Bettenräume mit allgemeiner Ausstattung","Bettenräume mit besonderer Ausstattung","Sanitärräume","Garderoben","Abstellräume","Fahrzeugabstellflächen","Fahrgastflächen","Räume für zentrale Technik","Schutzräum","Abwasseraufbereitung u. -beseitigung","Wasserversorgung","Heizung und Brauchwassererwärmung","Gase und Flüssigkeiten","Elektrische Stromversorgung","Fernmeldetechnik","Raumlufttechnische Anlagen","Aufzugs- und Förderanlagen","Sonstige betriebstechnische Anlagen","Flure, Hallen","Treppen","Schächte für Förderanlagen"</t>
  </si>
  <si>
    <t>3.1.1,3.1.2,3.1.3</t>
  </si>
  <si>
    <t>"Fahrzeugverkehrsflächen","aussenliegende Fahrzeugabstellflächen"</t>
  </si>
  <si>
    <t>"true","false"</t>
  </si>
  <si>
    <t>"Wohnräume","Gemeinschaftsräume","Pausenräume","Warteräume","Speiseräume","Hafträume","Büroräume","Grossraumbüros","Besprechungsräume","Konstruktionsräume","Schalterräume","Bedienungsräume","Aufsichtsräume","Bürotechnikräume","Werkhallen","Werkstätten","Technologische Labors","Physikalische, physikaltechnische, elektrotechnische Labors","Chemische, bekteriologische, morphologische Labors","Räume für Tierhaltung","Räume für Pflanzenzucht","Küchen","Sonderarbeitsräume","Lagerräume","Archive, Sammlungsräume","Kühlräume","Annahme- und Ausgaberäume","Verkaufsräume","Ausstellungsräume","Unterrichtsräume mit festem Gestühl","Allgemein Unterrichts- und Übungsräume ohne festes Gestühl","Besondere Unterrichts- und Übungsräume ohne festes Gestühl","Bibliotheksräume","Sporträume","Versammlungsräume","Bühnen-, Studioräume","Schauräume","Sakralräume","Räume mit allgemeiner medizinischen Ausstattung","Räume mit besonderer medizinischen Ausstattung","Räume für operative Eingriffe, Endoskopien und Entbindungen","Räume für Strahlendiagnostik","Räume für Strahlentherapie","Räume für Physiotherapie und Rehabilitation","Bettenräume mit allgemeiner Ausstattung","Bettenräume mit besonderer Ausstattung","Sanitärräume","Garderoben","Abstellräume","Fahrzeugabstellflächen","Fahrgastflächen","Räume für zentrale Technik","Schutzräum","Abwasseraufbereitung u. -beseitigung","Wasserversorgung","Heizung und Brauchwassererwärmung","Gase und Flüssigkeiten","Elektrische Stromversorgung","Fernmeldetechnik","Raumlufttechnische Anlagen","Aufzugs- und Förderanlagen","Sonstige betriebstechnische Anlagen","Flure, Hallen","Treppen","Schächte für Förderanlagen","Fahrzeugverkehrsflächen","aussenliegende Fahrzeugabstellflächen"</t>
  </si>
  <si>
    <t>1.2,1.2.1,1.2.2,2,2.1.1.1,2.1.1.2,2.1.2,2.1.3,3,3.1.1,3.1.2,3.1.3,"AIRSPACE","ROOF"</t>
  </si>
  <si>
    <t>"GSF","UF","BUF","UUF","GF","HNF","NNF","VF","FF","AGF","ANF","AVF","AFF","GV"</t>
  </si>
  <si>
    <t>"ST","SA","SAA","SAN","SP","SUP","SUS","SD","SI","SEP","SEU","SED","SEI","VB"</t>
  </si>
  <si>
    <t>"HNF1","HNF2","HNF3","HNF4","HNF5","HNF6","NNF7","FF8","VF9","BUF10"</t>
  </si>
  <si>
    <t>"SUP1","SUP2","SUP3","SUP4","SUP5","SUP6","SUS7","SI8","SD9","SAA10"</t>
  </si>
  <si>
    <t>BdCH_O_31010000</t>
  </si>
  <si>
    <t>BdCH_O_31010001</t>
  </si>
  <si>
    <t>BdCH_O_31010002</t>
  </si>
  <si>
    <t>BdCH_O_31010003</t>
  </si>
  <si>
    <t>BdCH_O_31010004</t>
  </si>
  <si>
    <t>BdCH_O_31010005</t>
  </si>
  <si>
    <t>BdCH_O_31010006</t>
  </si>
  <si>
    <t>BdCH_O_31010007</t>
  </si>
  <si>
    <t>BdCH_P_31020000</t>
  </si>
  <si>
    <t>BdCH_P_31020001</t>
  </si>
  <si>
    <t>BdCH_P_31020002</t>
  </si>
  <si>
    <t>BdCH_P_31020003</t>
  </si>
  <si>
    <t>BdCH_P_31020004</t>
  </si>
  <si>
    <t>BdCH_P_31020005</t>
  </si>
  <si>
    <t>BdCH_P_31020006</t>
  </si>
  <si>
    <t>BdCH_P_31020007</t>
  </si>
  <si>
    <t>BdCH_P_31020008</t>
  </si>
  <si>
    <t>BdCH_P_31020009</t>
  </si>
  <si>
    <t>BdCH_P_31020010</t>
  </si>
  <si>
    <t>BdCH_P_31020011</t>
  </si>
  <si>
    <t>BdCH_P_31020012</t>
  </si>
  <si>
    <t>BdCH_P_31020013</t>
  </si>
  <si>
    <t>BdCH_P_31020014</t>
  </si>
  <si>
    <t>BdCH_P_31020015</t>
  </si>
  <si>
    <t>BdCH_P_31020016</t>
  </si>
  <si>
    <t>BdCH_P_31020017</t>
  </si>
  <si>
    <t>BdCH_P_31020018</t>
  </si>
  <si>
    <t>BdCH_P_31020019</t>
  </si>
  <si>
    <t>BdCH_P_31020020</t>
  </si>
  <si>
    <t>BdCH_P_31020021</t>
  </si>
  <si>
    <t>BdCH_P_31020022</t>
  </si>
  <si>
    <t>BdCH_P_31020023</t>
  </si>
  <si>
    <t>BdCH_P_31020024</t>
  </si>
  <si>
    <t>BdCH_P_31020025</t>
  </si>
  <si>
    <t>BdCH_P_31020026</t>
  </si>
  <si>
    <t>BdCH_P_31020027</t>
  </si>
  <si>
    <t>BdCH_P_31020028</t>
  </si>
  <si>
    <t>BdCH_P_31020029</t>
  </si>
  <si>
    <t>BdCH_P_31020030</t>
  </si>
  <si>
    <t>BdCH_P_31020031</t>
  </si>
  <si>
    <t>BdCH_P_31020032</t>
  </si>
  <si>
    <t>BdCH_P_31020033</t>
  </si>
  <si>
    <t>BdCH_P_31020034</t>
  </si>
  <si>
    <t>BdCH_P_31020035</t>
  </si>
  <si>
    <t>BdCH_P_31020036</t>
  </si>
  <si>
    <t>BdCH_P_31020037</t>
  </si>
  <si>
    <t>BdCH_P_31020038</t>
  </si>
  <si>
    <t>BdCH_P_31020039</t>
  </si>
  <si>
    <t>BdCH_P_31020040</t>
  </si>
  <si>
    <t>BdCH_P_31020041</t>
  </si>
  <si>
    <t>BdCH_P_31020042</t>
  </si>
  <si>
    <t>BdCH_P_31020043</t>
  </si>
  <si>
    <t>BdCH_P_31020044</t>
  </si>
  <si>
    <t>BdCH_P_31020045</t>
  </si>
  <si>
    <t>BdCH_P_31020046</t>
  </si>
  <si>
    <t>BdCH_P_31020047</t>
  </si>
  <si>
    <t>BdCH_P_31020048</t>
  </si>
  <si>
    <t>BdCH_P_31020049</t>
  </si>
  <si>
    <t>BdCH_P_31020050</t>
  </si>
  <si>
    <t>BdCH_P_31020051</t>
  </si>
  <si>
    <t>BdCH_P_31020052</t>
  </si>
  <si>
    <t>BDCH_V_31030000</t>
  </si>
  <si>
    <t>Werteliste-Code</t>
  </si>
  <si>
    <t>BDCH_V_31030001</t>
  </si>
  <si>
    <t>BDCH_V_31030002</t>
  </si>
  <si>
    <t>BDCH_V_31030003</t>
  </si>
  <si>
    <t>BDCH_V_31030004</t>
  </si>
  <si>
    <t>BDCH_V_31030005</t>
  </si>
  <si>
    <t>BDCH_V_31030006</t>
  </si>
  <si>
    <t>BDCH_V_31030007</t>
  </si>
  <si>
    <t>BDCH_V_31030008</t>
  </si>
  <si>
    <t>BDCH_V_31030009</t>
  </si>
  <si>
    <t>BDCH_V_31030010</t>
  </si>
  <si>
    <t>BDCH_V_31030011</t>
  </si>
  <si>
    <t>BDCH_V_31030012</t>
  </si>
  <si>
    <t>BDCH_V_31030013</t>
  </si>
  <si>
    <t>BDCH_V_31030014</t>
  </si>
  <si>
    <t>BDCH_V_31030015</t>
  </si>
  <si>
    <t>BDCH_V_31030016</t>
  </si>
  <si>
    <t>BDCH_V_31030017</t>
  </si>
  <si>
    <t>BDCH_V_31030018</t>
  </si>
  <si>
    <t>BDCH_V_31030019</t>
  </si>
  <si>
    <t>BDCH_V_31030020</t>
  </si>
  <si>
    <t>BDCH_V_31030021</t>
  </si>
  <si>
    <t>BDCH_V_31030022</t>
  </si>
  <si>
    <t>BDCH_V_31030023</t>
  </si>
  <si>
    <t>BDCH_V_31030024</t>
  </si>
  <si>
    <t>BDCH_V_31030025</t>
  </si>
  <si>
    <t>BDCH_V_31030026</t>
  </si>
  <si>
    <t>BDCH_V_31030027</t>
  </si>
  <si>
    <t>BDCH_V_31030028</t>
  </si>
  <si>
    <t>BDCH_V_31030029</t>
  </si>
  <si>
    <t>BDCH_V_31030030</t>
  </si>
  <si>
    <t>BDCH_V_31030031</t>
  </si>
  <si>
    <t>BDCH_V_31030032</t>
  </si>
  <si>
    <t>BDCH_V_31030033</t>
  </si>
  <si>
    <t>BDCH_V_31030034</t>
  </si>
  <si>
    <t>BDCH_V_31030035</t>
  </si>
  <si>
    <t>BDCH_V_31030036</t>
  </si>
  <si>
    <t>BDCH_V_31030037</t>
  </si>
  <si>
    <t>BDCH_V_31030038</t>
  </si>
  <si>
    <t>BDCH_V_31030039</t>
  </si>
  <si>
    <t>BDCH_V_31030040</t>
  </si>
  <si>
    <t>BDCH_V_31030041</t>
  </si>
  <si>
    <t>BDCH_V_31030042</t>
  </si>
  <si>
    <t>BDCH_V_31030043</t>
  </si>
  <si>
    <t>BDCH_V_31030044</t>
  </si>
  <si>
    <t>BDCH_V_31030045</t>
  </si>
  <si>
    <t>BDCH_V_31030046</t>
  </si>
  <si>
    <t>BDCH_V_31030047</t>
  </si>
  <si>
    <t>BDCH_V_31030048</t>
  </si>
  <si>
    <t>BDCH_V_31030049</t>
  </si>
  <si>
    <t>BDCH_V_31030050</t>
  </si>
  <si>
    <t>BdCH_D_31040000</t>
  </si>
  <si>
    <t>"USERDEFINED"</t>
  </si>
  <si>
    <t>"SITE_AREA"</t>
  </si>
  <si>
    <t>"SURROUNDING_AREA"</t>
  </si>
  <si>
    <t>"GFA"</t>
  </si>
  <si>
    <t>"PARKING"</t>
  </si>
  <si>
    <t>"ROOM"</t>
  </si>
  <si>
    <t>"EXTERNAL_ROOM"</t>
  </si>
  <si>
    <t>"RENTABLE_AREA"</t>
  </si>
  <si>
    <t>2,3,"AIRSPACE","ROOF"</t>
  </si>
  <si>
    <t>"GSF","ST"</t>
  </si>
  <si>
    <t>"UF","BUF","UUF","SA","SAA","SAN"</t>
  </si>
  <si>
    <t>"GF","GV","LUFTRAUM","DACH","SP","VB","SVIDE","TOIT"</t>
  </si>
  <si>
    <t>"HNF","NNF","VF","FF","SUP","SUS","SD","SI"</t>
  </si>
  <si>
    <t>"ANF","AVF","AFF","SEU","SED","SEI"</t>
  </si>
  <si>
    <t>"HNF1","HNF2","HNF3","HNF4","HNF5","HNF6","NNF7","FF8","VF9","BUF10","SUP1","SUP2","SUP3","SUP4","SUP5","SUP6","SUS7","SI8","SD9","SAA10"</t>
  </si>
  <si>
    <t>"true"</t>
  </si>
  <si>
    <t>"false"</t>
  </si>
  <si>
    <r>
      <t>"Wohnen Mehrfamilienhaus","Wohnen Einfamilienhaus","Hotelzimmer","Empfang, Lobby","Einzel-, Gruppenbüro","Grossraumbüro","Sitzungszimmer","Schalterhalle, Empfang","Schulzimmer","Lehrerzimmer","Bibliothek","Hörsaal","Schulfachraum","Lebensmittelverkauf","Fachgeschäft",</t>
    </r>
    <r>
      <rPr>
        <sz val="10"/>
        <color rgb="FFFF0000"/>
        <rFont val="Arial"/>
        <family val="2"/>
      </rPr>
      <t>"Verkauf Möbel, Bau, Garten"</t>
    </r>
    <r>
      <rPr>
        <sz val="10"/>
        <rFont val="Arial"/>
        <family val="2"/>
      </rPr>
      <t>,"Restaurant","Selbstbedienungsrestaurant","Küche zu Restaurant","Küche zu Selbstbedienungsrestaurant","Vorstellungsraum","Mehrzweckhalle","Ausstellungshalle","Bettenzimmer","Stationszimmer","Behandlungsraum","Produktion (grobe Arbeit)","Produktion (feine Arbeit)","Laborraum","Lagerhalle","Turnhalle","Fitnessraum","Schwimmhalle","Verkehrsfläche","Verkehrsfläche 24 h","Treppenhaus","Nebenraum","Küche, Teeküche","WC, Bad, Dusche","WC","Garderobe, Dusche","Parkhaus","Wasch- und Trockenraum","Kühlraum","Serverraum"</t>
    </r>
  </si>
  <si>
    <t>"Wohnen Mehrfamilienhaus","Wohnen Einfamilienhaus","Hotelzimmer","Empfang, Lobby","Einzel-, Gruppenbüro","Grossraumbüro","Sitzungszimmer","Schalterhalle","Empfang","Schulzimmer","Lehrerzimmer","Bibliothek","Hörsaal","Schulfachraum","Lebensmittelverkauf","Fachgeschäft","Verkauf Möbel, Bau, Garten","Restaurant","Selbstbedienungsrestaurant","Küche zu Restaurant","Küche zu Selbstbedienungsrestaurant","Vorstellungsraum","Mehrzweckhalle","Ausstellungshalle","Bettenzimmer","Stationszimmer","Behandlungsraum","Produktion (grobe Arbeit)","Produktion (feine Arbeit)","Laborraum","Lagerhalle","Turnhalle","Fitnessraum","Schwimmhalle","Verkehrsfläche","Verkehrsfläche 24 h","Treppenhaus","Nebenraum","Küche, Teeküche","WC, Bad, Dusche","WC","Garderobe, Dusche","Parkhaus","Wasch- und Trockenraum","Kühlraum","Serverraum"</t>
  </si>
  <si>
    <t>https://identifier.buildingsmart.org/uri/buildingsmart/ifc/4.3/class/IfcBuildingStorey</t>
  </si>
  <si>
    <t>IfcSite</t>
  </si>
  <si>
    <t>https://identifier.buildingsmart.org/uri/buildingsmart/ifc/4.3/class/IfcSite</t>
  </si>
  <si>
    <t>bDCH</t>
  </si>
  <si>
    <t>Data Dictionary Flächenmanagement</t>
  </si>
  <si>
    <t>Data Dictionary Area Management</t>
  </si>
  <si>
    <t>0.0.1</t>
  </si>
  <si>
    <t>Vordefinierter Typ (Selbsterklärend)</t>
  </si>
  <si>
    <t xml:space="preserve">Objekttyp (Selbsterklärend) </t>
  </si>
  <si>
    <t>PredefinedType (self-explanatory)</t>
  </si>
  <si>
    <t>ObjectType (self-explanatory)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</si>
</sst>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8"/>
      <name val="Aptos Narrow"/>
      <family val="2"/>
      <scheme val="minor"/>
    </font>
    <font>
      <sz val="11"/>
      <color rgb="FF6750A4"/>
      <name val="Arial"/>
      <family val="2"/>
    </font>
    <font>
      <sz val="11"/>
      <color rgb="FF000000"/>
      <name val="Arial"/>
      <family val="2"/>
    </font>
    <font>
      <sz val="10"/>
      <color rgb="FFFF0000"/>
      <name val="Arial"/>
      <family val="2"/>
    </font>
  </fonts>
  <fills count="19">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2"/>
        <bgColor indexed="64"/>
      </patternFill>
    </fill>
    <fill>
      <patternFill patternType="solid">
        <fgColor rgb="FFFF000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hair">
        <color auto="1"/>
      </right>
      <top style="hair">
        <color auto="1"/>
      </top>
      <bottom style="hair">
        <color auto="1"/>
      </bottom>
      <diagonal/>
    </border>
  </borders>
  <cellStyleXfs count="8">
    <xf numFmtId="0" fontId="0" fillId="0" borderId="0"/>
    <xf numFmtId="0" fontId="3" fillId="0" borderId="0"/>
    <xf numFmtId="0" fontId="5" fillId="0" borderId="7"/>
    <xf numFmtId="0" fontId="11" fillId="0" borderId="0"/>
    <xf numFmtId="0" fontId="16" fillId="0" borderId="0"/>
    <xf numFmtId="0" fontId="3" fillId="0" borderId="0"/>
    <xf numFmtId="0" fontId="23" fillId="10" borderId="0"/>
    <xf numFmtId="0" fontId="9" fillId="0" borderId="0"/>
  </cellStyleXfs>
  <cellXfs count="261">
    <xf numFmtId="0" fontId="0" fillId="0" borderId="0" xfId="0"/>
    <xf numFmtId="0" fontId="4" fillId="0" borderId="0" xfId="0" applyFont="1"/>
    <xf numFmtId="49" fontId="6" fillId="0" borderId="1" xfId="0" applyNumberFormat="1" applyFont="1" applyBorder="1" applyAlignment="1">
      <alignment vertical="center"/>
    </xf>
    <xf numFmtId="49" fontId="6" fillId="0" borderId="2" xfId="0" applyNumberFormat="1" applyFont="1" applyBorder="1" applyAlignment="1">
      <alignment vertical="center"/>
    </xf>
    <xf numFmtId="49" fontId="6" fillId="0" borderId="3" xfId="0" applyNumberFormat="1" applyFont="1" applyBorder="1" applyAlignment="1">
      <alignment vertical="center"/>
    </xf>
    <xf numFmtId="49" fontId="6" fillId="0" borderId="6" xfId="0" applyNumberFormat="1" applyFont="1" applyBorder="1" applyAlignment="1">
      <alignment vertical="center"/>
    </xf>
    <xf numFmtId="49" fontId="6" fillId="0" borderId="9" xfId="0" applyNumberFormat="1" applyFont="1" applyBorder="1" applyAlignment="1">
      <alignment vertical="center"/>
    </xf>
    <xf numFmtId="49" fontId="6" fillId="0" borderId="5" xfId="0" applyNumberFormat="1" applyFont="1" applyBorder="1" applyAlignment="1">
      <alignment vertical="center"/>
    </xf>
    <xf numFmtId="49" fontId="6" fillId="0" borderId="8" xfId="0" applyNumberFormat="1" applyFont="1" applyBorder="1" applyAlignment="1">
      <alignment vertical="center"/>
    </xf>
    <xf numFmtId="49" fontId="6" fillId="0" borderId="4"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6" fillId="0" borderId="2" xfId="0" applyNumberFormat="1" applyFont="1" applyBorder="1" applyAlignment="1">
      <alignment horizontal="left" vertical="center"/>
    </xf>
    <xf numFmtId="49" fontId="6" fillId="0" borderId="3" xfId="0" applyNumberFormat="1" applyFont="1" applyBorder="1" applyAlignment="1">
      <alignment horizontal="left" vertical="center"/>
    </xf>
    <xf numFmtId="49" fontId="6" fillId="0" borderId="6" xfId="0" applyNumberFormat="1" applyFont="1" applyBorder="1" applyAlignment="1">
      <alignment horizontal="left" vertical="center"/>
    </xf>
    <xf numFmtId="49" fontId="6" fillId="0" borderId="2" xfId="0" applyNumberFormat="1" applyFont="1" applyBorder="1" applyAlignment="1">
      <alignment horizontal="center"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6" xfId="0" applyFont="1" applyBorder="1" applyAlignment="1">
      <alignment horizontal="left" vertical="center"/>
    </xf>
    <xf numFmtId="49" fontId="6" fillId="0" borderId="1" xfId="0" applyNumberFormat="1" applyFont="1" applyBorder="1" applyAlignment="1">
      <alignment horizontal="righ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6" fillId="2" borderId="5" xfId="0" applyNumberFormat="1" applyFont="1" applyFill="1" applyBorder="1" applyAlignment="1">
      <alignment vertical="center"/>
    </xf>
    <xf numFmtId="49" fontId="6" fillId="0" borderId="5" xfId="0" applyNumberFormat="1" applyFont="1" applyBorder="1" applyAlignment="1">
      <alignment horizontal="right" vertical="center"/>
    </xf>
    <xf numFmtId="49" fontId="6" fillId="0" borderId="8" xfId="0" applyNumberFormat="1" applyFont="1" applyBorder="1" applyAlignment="1">
      <alignment horizontal="right" vertical="center"/>
    </xf>
    <xf numFmtId="49" fontId="6" fillId="0" borderId="5" xfId="0" applyNumberFormat="1" applyFont="1" applyBorder="1" applyAlignment="1">
      <alignment horizontal="left" vertical="center"/>
    </xf>
    <xf numFmtId="49" fontId="6" fillId="0" borderId="4" xfId="0" applyNumberFormat="1" applyFont="1" applyBorder="1" applyAlignment="1">
      <alignment horizontal="left" vertical="center"/>
    </xf>
    <xf numFmtId="49" fontId="6" fillId="2" borderId="4" xfId="0" applyNumberFormat="1" applyFont="1" applyFill="1" applyBorder="1" applyAlignment="1">
      <alignment horizontal="left" vertical="center"/>
    </xf>
    <xf numFmtId="49" fontId="6" fillId="0" borderId="10" xfId="0" applyNumberFormat="1" applyFont="1" applyBorder="1" applyAlignment="1">
      <alignment horizontal="left" vertical="center"/>
    </xf>
    <xf numFmtId="0" fontId="7" fillId="0" borderId="0" xfId="0" applyFont="1" applyAlignment="1">
      <alignment vertical="center"/>
    </xf>
    <xf numFmtId="0" fontId="9" fillId="0" borderId="12" xfId="0" applyFont="1" applyBorder="1" applyAlignment="1">
      <alignment horizontal="left" vertical="center"/>
    </xf>
    <xf numFmtId="0" fontId="7" fillId="0" borderId="0" xfId="0" applyFont="1" applyAlignment="1">
      <alignment vertical="top"/>
    </xf>
    <xf numFmtId="0" fontId="8" fillId="0" borderId="0" xfId="0" applyFont="1" applyAlignment="1">
      <alignment horizontal="left" vertical="top"/>
    </xf>
    <xf numFmtId="0" fontId="14" fillId="4" borderId="0" xfId="0" applyFont="1" applyFill="1" applyAlignment="1">
      <alignment horizontal="centerContinuous" vertical="center"/>
    </xf>
    <xf numFmtId="0" fontId="14" fillId="5" borderId="0" xfId="0" applyFont="1" applyFill="1" applyAlignment="1">
      <alignment horizontal="centerContinuous" vertical="center" wrapText="1"/>
    </xf>
    <xf numFmtId="0" fontId="7" fillId="0" borderId="0" xfId="0" applyFont="1"/>
    <xf numFmtId="0" fontId="8" fillId="0" borderId="0" xfId="0" applyFont="1" applyAlignment="1">
      <alignment vertical="top"/>
    </xf>
    <xf numFmtId="0" fontId="8" fillId="0" borderId="0" xfId="0" applyFont="1" applyAlignment="1">
      <alignment vertical="center"/>
    </xf>
    <xf numFmtId="0" fontId="9" fillId="0" borderId="12" xfId="0" applyFont="1" applyBorder="1" applyAlignment="1">
      <alignment horizontal="left" vertical="top"/>
    </xf>
    <xf numFmtId="0" fontId="10" fillId="0" borderId="0" xfId="0" applyFont="1" applyAlignment="1">
      <alignment vertical="top"/>
    </xf>
    <xf numFmtId="0" fontId="15" fillId="8" borderId="12" xfId="0" applyFont="1" applyFill="1" applyBorder="1" applyAlignment="1">
      <alignment horizontal="left" vertical="top" wrapText="1"/>
    </xf>
    <xf numFmtId="49" fontId="9" fillId="0" borderId="12" xfId="0" applyNumberFormat="1" applyFont="1" applyBorder="1" applyAlignment="1">
      <alignment vertical="top" wrapText="1"/>
    </xf>
    <xf numFmtId="0" fontId="8" fillId="0" borderId="0" xfId="0" applyFont="1" applyAlignment="1">
      <alignment horizontal="left" vertical="top" wrapText="1"/>
    </xf>
    <xf numFmtId="0" fontId="8" fillId="0" borderId="0" xfId="0" applyFont="1" applyAlignment="1">
      <alignment vertical="top" wrapText="1"/>
    </xf>
    <xf numFmtId="0" fontId="20" fillId="0" borderId="0" xfId="0" applyFont="1" applyAlignment="1">
      <alignment vertical="top"/>
    </xf>
    <xf numFmtId="0" fontId="21" fillId="0" borderId="0" xfId="0" applyFont="1" applyAlignment="1">
      <alignment vertical="center" wrapText="1"/>
    </xf>
    <xf numFmtId="49" fontId="9" fillId="0" borderId="12" xfId="0" applyNumberFormat="1" applyFont="1" applyBorder="1" applyAlignment="1">
      <alignment horizontal="left" vertical="top"/>
    </xf>
    <xf numFmtId="0" fontId="8" fillId="0" borderId="0" xfId="0" applyFont="1" applyAlignment="1">
      <alignment vertical="center" wrapText="1"/>
    </xf>
    <xf numFmtId="0" fontId="18" fillId="0" borderId="0" xfId="0" applyFont="1" applyAlignment="1" applyProtection="1">
      <alignment horizontal="left" vertical="top"/>
      <protection locked="0"/>
    </xf>
    <xf numFmtId="0" fontId="7" fillId="0" borderId="0" xfId="0" applyFont="1" applyAlignment="1" applyProtection="1">
      <alignment vertical="center"/>
      <protection locked="0"/>
    </xf>
    <xf numFmtId="49" fontId="9" fillId="0" borderId="12" xfId="0" applyNumberFormat="1" applyFont="1" applyBorder="1" applyAlignment="1" applyProtection="1">
      <alignment vertical="top" wrapText="1"/>
      <protection locked="0"/>
    </xf>
    <xf numFmtId="0" fontId="9" fillId="0" borderId="12" xfId="0" applyFont="1" applyBorder="1" applyAlignment="1" applyProtection="1">
      <alignment horizontal="left" vertical="top"/>
      <protection locked="0"/>
    </xf>
    <xf numFmtId="49" fontId="9" fillId="0" borderId="12" xfId="0" applyNumberFormat="1" applyFont="1" applyBorder="1" applyAlignment="1" applyProtection="1">
      <alignment vertical="top"/>
      <protection locked="0"/>
    </xf>
    <xf numFmtId="0" fontId="9" fillId="0" borderId="12" xfId="0" applyFont="1" applyBorder="1" applyAlignment="1" applyProtection="1">
      <alignment horizontal="left" vertical="top" wrapText="1"/>
      <protection locked="0"/>
    </xf>
    <xf numFmtId="0" fontId="8" fillId="0" borderId="0" xfId="0" applyFont="1" applyAlignment="1" applyProtection="1">
      <alignment vertical="center"/>
      <protection locked="0"/>
    </xf>
    <xf numFmtId="0" fontId="9" fillId="0" borderId="0" xfId="0" applyFont="1" applyAlignment="1" applyProtection="1">
      <alignment vertical="center"/>
      <protection locked="0"/>
    </xf>
    <xf numFmtId="49" fontId="7" fillId="0" borderId="0" xfId="0" applyNumberFormat="1" applyFont="1" applyAlignment="1" applyProtection="1">
      <alignment vertical="center"/>
      <protection locked="0"/>
    </xf>
    <xf numFmtId="49" fontId="7" fillId="0" borderId="0" xfId="0" applyNumberFormat="1" applyFont="1" applyAlignment="1" applyProtection="1">
      <alignment horizontal="right" vertical="center"/>
      <protection locked="0"/>
    </xf>
    <xf numFmtId="49" fontId="25" fillId="11" borderId="12" xfId="0" applyNumberFormat="1" applyFont="1" applyFill="1" applyBorder="1" applyAlignment="1">
      <alignment horizontal="center" vertical="center"/>
    </xf>
    <xf numFmtId="0" fontId="25" fillId="11" borderId="12" xfId="0" applyFont="1" applyFill="1" applyBorder="1" applyAlignment="1">
      <alignment horizontal="center" vertical="center"/>
    </xf>
    <xf numFmtId="0" fontId="8" fillId="0" borderId="0" xfId="0" applyFont="1" applyAlignment="1" applyProtection="1">
      <alignment vertical="top"/>
      <protection locked="0"/>
    </xf>
    <xf numFmtId="0" fontId="8" fillId="0" borderId="12" xfId="0" applyFont="1" applyBorder="1" applyAlignment="1" applyProtection="1">
      <alignment vertical="top" wrapText="1"/>
      <protection locked="0"/>
    </xf>
    <xf numFmtId="0" fontId="8" fillId="0" borderId="0" xfId="0" applyFont="1" applyProtection="1">
      <protection locked="0"/>
    </xf>
    <xf numFmtId="0" fontId="7" fillId="0" borderId="0" xfId="0" applyFont="1" applyProtection="1">
      <protection locked="0"/>
    </xf>
    <xf numFmtId="0" fontId="7" fillId="0" borderId="0" xfId="0" applyFont="1" applyAlignment="1" applyProtection="1">
      <alignment wrapText="1"/>
      <protection locked="0"/>
    </xf>
    <xf numFmtId="49" fontId="10" fillId="3" borderId="17" xfId="0" applyNumberFormat="1" applyFont="1" applyFill="1" applyBorder="1" applyAlignment="1">
      <alignment horizontal="center" vertical="center"/>
    </xf>
    <xf numFmtId="49" fontId="10" fillId="3" borderId="18" xfId="0" applyNumberFormat="1" applyFont="1" applyFill="1" applyBorder="1" applyAlignment="1">
      <alignment horizontal="center" vertical="center"/>
    </xf>
    <xf numFmtId="49" fontId="10" fillId="3" borderId="19" xfId="0" applyNumberFormat="1" applyFont="1" applyFill="1" applyBorder="1" applyAlignment="1">
      <alignment horizontal="center" vertical="center" wrapText="1"/>
    </xf>
    <xf numFmtId="0" fontId="0" fillId="0" borderId="0" xfId="0" applyAlignment="1">
      <alignment vertical="top"/>
    </xf>
    <xf numFmtId="0" fontId="9" fillId="0" borderId="13" xfId="0" applyFont="1" applyBorder="1" applyAlignment="1">
      <alignment horizontal="left" vertical="center"/>
    </xf>
    <xf numFmtId="0" fontId="9"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9" fillId="9" borderId="12" xfId="0" applyFont="1" applyFill="1" applyBorder="1" applyAlignment="1" applyProtection="1">
      <alignment horizontal="left" vertical="top"/>
      <protection locked="0"/>
    </xf>
    <xf numFmtId="0" fontId="9" fillId="9" borderId="12" xfId="0" applyFont="1" applyFill="1" applyBorder="1" applyAlignment="1" applyProtection="1">
      <alignment horizontal="left" vertical="top" wrapText="1"/>
      <protection locked="0"/>
    </xf>
    <xf numFmtId="0" fontId="28" fillId="0" borderId="0" xfId="0" applyFont="1" applyAlignment="1">
      <alignment horizontal="left" vertical="center" wrapText="1" readingOrder="1"/>
    </xf>
    <xf numFmtId="0" fontId="7" fillId="0" borderId="0" xfId="0" applyFont="1" applyAlignment="1">
      <alignment textRotation="90"/>
    </xf>
    <xf numFmtId="0" fontId="15" fillId="7" borderId="12" xfId="0" applyFont="1" applyFill="1" applyBorder="1" applyAlignment="1">
      <alignment horizontal="left" textRotation="90" wrapText="1"/>
    </xf>
    <xf numFmtId="0" fontId="7" fillId="0" borderId="0" xfId="0" applyFont="1" applyAlignment="1">
      <alignment horizontal="center" vertical="center"/>
    </xf>
    <xf numFmtId="0" fontId="7" fillId="0" borderId="0" xfId="0" applyFont="1" applyAlignment="1">
      <alignment horizontal="center"/>
    </xf>
    <xf numFmtId="0" fontId="7" fillId="0" borderId="0" xfId="0" applyFont="1" applyAlignment="1">
      <alignment horizontal="left" vertical="top"/>
    </xf>
    <xf numFmtId="0" fontId="7" fillId="0" borderId="0" xfId="0" applyFont="1" applyAlignment="1">
      <alignment horizontal="left" vertical="top" wrapText="1"/>
    </xf>
    <xf numFmtId="49" fontId="9" fillId="0" borderId="12" xfId="0" applyNumberFormat="1" applyFont="1" applyBorder="1" applyAlignment="1">
      <alignment horizontal="left" vertical="top" wrapText="1"/>
    </xf>
    <xf numFmtId="0" fontId="19" fillId="0" borderId="0" xfId="0" applyFont="1" applyAlignment="1">
      <alignment horizontal="left" vertical="top"/>
    </xf>
    <xf numFmtId="49" fontId="9" fillId="0" borderId="12" xfId="0" applyNumberFormat="1" applyFont="1" applyBorder="1" applyAlignment="1">
      <alignment vertical="top"/>
    </xf>
    <xf numFmtId="49" fontId="9" fillId="0" borderId="0" xfId="0" applyNumberFormat="1" applyFont="1" applyAlignment="1">
      <alignment vertical="top"/>
    </xf>
    <xf numFmtId="0" fontId="7" fillId="0" borderId="0" xfId="0" applyFont="1" applyAlignment="1">
      <alignment vertical="top" wrapText="1"/>
    </xf>
    <xf numFmtId="0" fontId="9"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5" fillId="0" borderId="0" xfId="6" applyFont="1" applyFill="1" applyAlignment="1">
      <alignment horizontal="left" textRotation="90" wrapText="1"/>
    </xf>
    <xf numFmtId="0" fontId="15" fillId="6" borderId="12" xfId="6" applyFont="1" applyFill="1" applyBorder="1" applyAlignment="1">
      <alignment horizontal="left" textRotation="90" wrapText="1"/>
    </xf>
    <xf numFmtId="0" fontId="26" fillId="5" borderId="12" xfId="6" applyFont="1" applyFill="1" applyBorder="1" applyAlignment="1">
      <alignment horizontal="left" textRotation="90" wrapText="1"/>
    </xf>
    <xf numFmtId="0" fontId="26" fillId="12" borderId="12" xfId="6" applyFont="1" applyFill="1" applyBorder="1" applyAlignment="1">
      <alignment horizontal="left" textRotation="90" wrapText="1"/>
    </xf>
    <xf numFmtId="0" fontId="26" fillId="13" borderId="12" xfId="6" applyFont="1" applyFill="1" applyBorder="1" applyAlignment="1">
      <alignment horizontal="left" textRotation="90" wrapText="1"/>
    </xf>
    <xf numFmtId="0" fontId="26" fillId="5" borderId="0" xfId="0" applyFont="1" applyFill="1" applyAlignment="1">
      <alignment horizontal="centerContinuous" vertical="center" wrapText="1"/>
    </xf>
    <xf numFmtId="49" fontId="26" fillId="5" borderId="0" xfId="0" applyNumberFormat="1" applyFont="1" applyFill="1" applyAlignment="1">
      <alignment horizontal="centerContinuous" vertical="center" wrapText="1"/>
    </xf>
    <xf numFmtId="49" fontId="26" fillId="5" borderId="0" xfId="0" applyNumberFormat="1" applyFont="1" applyFill="1" applyAlignment="1">
      <alignment horizontal="centerContinuous" vertical="center"/>
    </xf>
    <xf numFmtId="0" fontId="8" fillId="0" borderId="0" xfId="0" applyFont="1" applyAlignment="1">
      <alignment horizontal="center" vertical="center"/>
    </xf>
    <xf numFmtId="0" fontId="26" fillId="13" borderId="12" xfId="6" applyFont="1" applyFill="1" applyBorder="1" applyAlignment="1">
      <alignment horizontal="center" textRotation="90" wrapText="1"/>
    </xf>
    <xf numFmtId="0" fontId="18" fillId="0" borderId="0" xfId="0" applyFont="1" applyAlignment="1" applyProtection="1">
      <alignment horizontal="center" vertical="top"/>
      <protection locked="0"/>
    </xf>
    <xf numFmtId="0" fontId="8" fillId="0" borderId="0" xfId="0" applyFont="1" applyAlignment="1" applyProtection="1">
      <alignment horizontal="center" vertical="top"/>
      <protection locked="0"/>
    </xf>
    <xf numFmtId="0" fontId="8" fillId="0" borderId="0" xfId="0" applyFont="1" applyAlignment="1" applyProtection="1">
      <alignment horizontal="center"/>
      <protection locked="0"/>
    </xf>
    <xf numFmtId="0" fontId="26" fillId="5" borderId="0" xfId="6" applyFont="1" applyFill="1" applyAlignment="1">
      <alignment horizontal="center" textRotation="90" wrapText="1"/>
    </xf>
    <xf numFmtId="0" fontId="26" fillId="12" borderId="12" xfId="6" applyFont="1" applyFill="1" applyBorder="1" applyAlignment="1">
      <alignment horizontal="center" textRotation="90" wrapText="1"/>
    </xf>
    <xf numFmtId="0" fontId="22" fillId="0" borderId="0" xfId="0" applyFont="1" applyAlignment="1" applyProtection="1">
      <alignment horizontal="center"/>
      <protection locked="0"/>
    </xf>
    <xf numFmtId="0" fontId="17" fillId="0" borderId="12" xfId="4" applyFont="1" applyBorder="1" applyAlignment="1" applyProtection="1">
      <alignment vertical="top"/>
      <protection locked="0"/>
    </xf>
    <xf numFmtId="0" fontId="9" fillId="0" borderId="12" xfId="0" applyFont="1" applyBorder="1" applyAlignment="1" applyProtection="1">
      <alignment vertical="top"/>
      <protection locked="0"/>
    </xf>
    <xf numFmtId="0" fontId="18" fillId="11" borderId="12" xfId="0" applyFont="1" applyFill="1" applyBorder="1" applyAlignment="1">
      <alignment horizontal="center" vertical="center"/>
    </xf>
    <xf numFmtId="49" fontId="18" fillId="11" borderId="12" xfId="0" applyNumberFormat="1" applyFont="1" applyFill="1" applyBorder="1" applyAlignment="1">
      <alignment horizontal="center" vertical="center"/>
    </xf>
    <xf numFmtId="0" fontId="27" fillId="11" borderId="12" xfId="0" applyFont="1" applyFill="1" applyBorder="1" applyAlignment="1">
      <alignment vertical="center"/>
    </xf>
    <xf numFmtId="49" fontId="25" fillId="11" borderId="12" xfId="0" applyNumberFormat="1" applyFont="1" applyFill="1" applyBorder="1" applyAlignment="1">
      <alignment horizontal="left" vertical="center"/>
    </xf>
    <xf numFmtId="0" fontId="15" fillId="6" borderId="21" xfId="6" applyFont="1" applyFill="1" applyBorder="1" applyAlignment="1">
      <alignment horizontal="left" textRotation="90" wrapText="1"/>
    </xf>
    <xf numFmtId="0" fontId="25" fillId="11" borderId="12" xfId="0" applyFont="1" applyFill="1" applyBorder="1" applyAlignment="1">
      <alignment horizontal="center" vertical="center" wrapText="1"/>
    </xf>
    <xf numFmtId="0" fontId="24" fillId="0" borderId="12" xfId="4" applyFont="1" applyBorder="1" applyAlignment="1" applyProtection="1">
      <alignment vertical="top"/>
      <protection locked="0"/>
    </xf>
    <xf numFmtId="0" fontId="13" fillId="0" borderId="0" xfId="0" applyFont="1" applyAlignment="1" applyProtection="1">
      <alignment vertical="center"/>
      <protection locked="0"/>
    </xf>
    <xf numFmtId="0" fontId="26" fillId="5" borderId="14" xfId="0" applyFont="1" applyFill="1" applyBorder="1" applyAlignment="1">
      <alignment horizontal="centerContinuous" vertical="center" wrapText="1"/>
    </xf>
    <xf numFmtId="0" fontId="26" fillId="5" borderId="15" xfId="0" applyFont="1" applyFill="1" applyBorder="1" applyAlignment="1">
      <alignment horizontal="centerContinuous" vertical="center" wrapText="1"/>
    </xf>
    <xf numFmtId="0" fontId="15" fillId="0" borderId="14" xfId="0" applyFont="1" applyBorder="1" applyAlignment="1">
      <alignment horizontal="centerContinuous" vertical="center" wrapText="1"/>
    </xf>
    <xf numFmtId="0" fontId="15" fillId="0" borderId="15" xfId="0" applyFont="1" applyBorder="1" applyAlignment="1">
      <alignment horizontal="centerContinuous" vertical="center" wrapText="1"/>
    </xf>
    <xf numFmtId="0" fontId="15" fillId="0" borderId="11" xfId="0" applyFont="1" applyBorder="1" applyAlignment="1">
      <alignment horizontal="centerContinuous" vertical="center" wrapText="1"/>
    </xf>
    <xf numFmtId="0" fontId="26" fillId="5" borderId="12" xfId="6" applyFont="1" applyFill="1" applyBorder="1" applyAlignment="1">
      <alignment horizontal="center" textRotation="90" wrapText="1"/>
    </xf>
    <xf numFmtId="0" fontId="26" fillId="5" borderId="0" xfId="0" applyFont="1" applyFill="1" applyAlignment="1">
      <alignment horizontal="centerContinuous" vertical="center"/>
    </xf>
    <xf numFmtId="0" fontId="7" fillId="0" borderId="0" xfId="0" applyFont="1" applyAlignment="1" applyProtection="1">
      <alignment horizontal="center" vertical="center"/>
      <protection locked="0"/>
    </xf>
    <xf numFmtId="0" fontId="15" fillId="4" borderId="12" xfId="6" applyFont="1" applyFill="1" applyBorder="1" applyAlignment="1">
      <alignment horizontal="center" textRotation="90" wrapText="1"/>
    </xf>
    <xf numFmtId="0" fontId="10" fillId="0" borderId="0" xfId="0" applyFont="1" applyAlignment="1">
      <alignment vertical="top" wrapText="1"/>
    </xf>
    <xf numFmtId="0" fontId="8" fillId="0" borderId="20" xfId="0" applyFont="1" applyBorder="1" applyAlignment="1">
      <alignment vertical="center"/>
    </xf>
    <xf numFmtId="0" fontId="26" fillId="15" borderId="12" xfId="0" applyFont="1" applyFill="1" applyBorder="1" applyAlignment="1">
      <alignment horizontal="center" vertical="center"/>
    </xf>
    <xf numFmtId="0" fontId="26" fillId="15" borderId="21" xfId="0" applyFont="1" applyFill="1" applyBorder="1" applyAlignment="1">
      <alignment horizontal="center" vertical="center"/>
    </xf>
    <xf numFmtId="0" fontId="26" fillId="15" borderId="22" xfId="0" applyFont="1" applyFill="1" applyBorder="1" applyAlignment="1">
      <alignment horizontal="center" vertical="center"/>
    </xf>
    <xf numFmtId="0" fontId="26" fillId="15" borderId="13" xfId="0" applyFont="1" applyFill="1" applyBorder="1" applyAlignment="1">
      <alignment horizontal="center" vertical="center"/>
    </xf>
    <xf numFmtId="0" fontId="15" fillId="6" borderId="0" xfId="6" applyFont="1" applyFill="1" applyAlignment="1">
      <alignment horizontal="left" textRotation="90" wrapText="1"/>
    </xf>
    <xf numFmtId="0" fontId="14" fillId="5" borderId="0" xfId="0" applyFont="1" applyFill="1" applyAlignment="1">
      <alignment horizontal="left" vertical="center"/>
    </xf>
    <xf numFmtId="0" fontId="15" fillId="0" borderId="0" xfId="0" applyFont="1" applyAlignment="1">
      <alignment horizontal="left" textRotation="90"/>
    </xf>
    <xf numFmtId="49" fontId="26" fillId="16" borderId="17" xfId="6" applyNumberFormat="1" applyFont="1" applyFill="1" applyBorder="1" applyAlignment="1">
      <alignment horizontal="center" textRotation="90" wrapText="1"/>
    </xf>
    <xf numFmtId="0" fontId="8" fillId="14" borderId="20" xfId="0" applyFont="1" applyFill="1" applyBorder="1" applyAlignment="1">
      <alignment vertical="center"/>
    </xf>
    <xf numFmtId="0" fontId="8" fillId="0" borderId="0" xfId="0" applyFont="1" applyAlignment="1">
      <alignment horizontal="center" vertical="top"/>
    </xf>
    <xf numFmtId="0" fontId="15" fillId="6" borderId="21" xfId="6" applyFont="1" applyFill="1" applyBorder="1" applyAlignment="1">
      <alignment horizontal="center" textRotation="90" wrapText="1"/>
    </xf>
    <xf numFmtId="0" fontId="15" fillId="6" borderId="12" xfId="6" applyFont="1" applyFill="1" applyBorder="1" applyAlignment="1">
      <alignment horizontal="center" textRotation="90" wrapText="1"/>
    </xf>
    <xf numFmtId="0" fontId="15" fillId="0" borderId="0" xfId="6" applyFont="1" applyFill="1" applyAlignment="1">
      <alignment horizontal="center" textRotation="90" wrapText="1"/>
    </xf>
    <xf numFmtId="0" fontId="10" fillId="0" borderId="0" xfId="0" applyFont="1" applyAlignment="1">
      <alignment vertical="center"/>
    </xf>
    <xf numFmtId="0" fontId="20" fillId="0" borderId="0" xfId="0" applyFont="1" applyAlignment="1">
      <alignment vertical="center"/>
    </xf>
    <xf numFmtId="0" fontId="14" fillId="12" borderId="0" xfId="0" applyFont="1" applyFill="1" applyAlignment="1">
      <alignment vertical="center"/>
    </xf>
    <xf numFmtId="0" fontId="20" fillId="0" borderId="0" xfId="0" applyFont="1" applyAlignment="1">
      <alignment horizontal="center" vertical="center"/>
    </xf>
    <xf numFmtId="0" fontId="10" fillId="0" borderId="0" xfId="0" applyFont="1" applyAlignment="1">
      <alignment horizontal="center" vertical="top"/>
    </xf>
    <xf numFmtId="0" fontId="14" fillId="12" borderId="0" xfId="0" applyFont="1" applyFill="1" applyAlignment="1">
      <alignment horizontal="left" vertical="center"/>
    </xf>
    <xf numFmtId="0" fontId="14" fillId="12" borderId="14" xfId="0" applyFont="1" applyFill="1" applyBorder="1" applyAlignment="1">
      <alignment vertical="center"/>
    </xf>
    <xf numFmtId="0" fontId="14" fillId="12" borderId="15" xfId="0" applyFont="1" applyFill="1" applyBorder="1" applyAlignment="1">
      <alignment vertical="center"/>
    </xf>
    <xf numFmtId="0" fontId="14" fillId="12" borderId="11" xfId="0" applyFont="1" applyFill="1" applyBorder="1" applyAlignment="1">
      <alignment vertical="center"/>
    </xf>
    <xf numFmtId="0" fontId="10" fillId="0" borderId="0" xfId="0" applyFont="1" applyAlignment="1">
      <alignment horizontal="center" vertical="center"/>
    </xf>
    <xf numFmtId="0" fontId="29" fillId="4" borderId="14" xfId="0" applyFont="1" applyFill="1" applyBorder="1" applyAlignment="1">
      <alignment vertical="center"/>
    </xf>
    <xf numFmtId="0" fontId="29" fillId="4" borderId="15" xfId="0" applyFont="1" applyFill="1" applyBorder="1" applyAlignment="1">
      <alignment vertical="center"/>
    </xf>
    <xf numFmtId="0" fontId="15" fillId="4" borderId="14" xfId="0" applyFont="1" applyFill="1" applyBorder="1" applyAlignment="1">
      <alignment vertical="center"/>
    </xf>
    <xf numFmtId="0" fontId="15" fillId="4" borderId="15" xfId="0" applyFont="1" applyFill="1" applyBorder="1" applyAlignment="1">
      <alignment vertical="center"/>
    </xf>
    <xf numFmtId="0" fontId="15" fillId="4" borderId="11" xfId="0" applyFont="1" applyFill="1" applyBorder="1" applyAlignment="1">
      <alignment vertical="center"/>
    </xf>
    <xf numFmtId="0" fontId="14" fillId="5" borderId="14" xfId="0" applyFont="1" applyFill="1" applyBorder="1" applyAlignment="1">
      <alignment horizontal="left" vertical="center"/>
    </xf>
    <xf numFmtId="0" fontId="14" fillId="5" borderId="15" xfId="0" applyFont="1" applyFill="1" applyBorder="1" applyAlignment="1">
      <alignment horizontal="left" vertical="center"/>
    </xf>
    <xf numFmtId="0" fontId="14" fillId="5" borderId="11" xfId="0" applyFont="1" applyFill="1" applyBorder="1" applyAlignment="1">
      <alignment horizontal="left" vertical="center"/>
    </xf>
    <xf numFmtId="0" fontId="14" fillId="13" borderId="14" xfId="0" applyFont="1" applyFill="1" applyBorder="1" applyAlignment="1">
      <alignment vertical="center"/>
    </xf>
    <xf numFmtId="0" fontId="14" fillId="13" borderId="15" xfId="0" applyFont="1" applyFill="1" applyBorder="1" applyAlignment="1">
      <alignment vertical="center"/>
    </xf>
    <xf numFmtId="0" fontId="14" fillId="13" borderId="11" xfId="0" applyFont="1" applyFill="1" applyBorder="1" applyAlignment="1">
      <alignment vertical="center"/>
    </xf>
    <xf numFmtId="0" fontId="20" fillId="0" borderId="0" xfId="0" applyFont="1" applyAlignment="1">
      <alignment horizontal="center" vertical="top"/>
    </xf>
    <xf numFmtId="0" fontId="30" fillId="0" borderId="0" xfId="0" applyFont="1" applyAlignment="1" applyProtection="1">
      <alignment horizontal="center" vertical="center"/>
      <protection locked="0"/>
    </xf>
    <xf numFmtId="0" fontId="30" fillId="0" borderId="0" xfId="0" applyFont="1" applyAlignment="1">
      <alignment horizontal="center" vertical="center"/>
    </xf>
    <xf numFmtId="0" fontId="26" fillId="5" borderId="14" xfId="0" applyFont="1" applyFill="1" applyBorder="1" applyAlignment="1">
      <alignment vertical="center"/>
    </xf>
    <xf numFmtId="0" fontId="26" fillId="5" borderId="15" xfId="0" applyFont="1" applyFill="1" applyBorder="1" applyAlignment="1">
      <alignment vertical="center"/>
    </xf>
    <xf numFmtId="0" fontId="26" fillId="5" borderId="11" xfId="0" applyFont="1" applyFill="1" applyBorder="1" applyAlignment="1">
      <alignment vertical="center"/>
    </xf>
    <xf numFmtId="0" fontId="26" fillId="16" borderId="14" xfId="0" applyFont="1" applyFill="1" applyBorder="1" applyAlignment="1">
      <alignment vertical="center"/>
    </xf>
    <xf numFmtId="0" fontId="26" fillId="16" borderId="15" xfId="0" applyFont="1" applyFill="1" applyBorder="1" applyAlignment="1">
      <alignment vertical="center"/>
    </xf>
    <xf numFmtId="0" fontId="26" fillId="16" borderId="11" xfId="0" applyFont="1" applyFill="1" applyBorder="1" applyAlignment="1">
      <alignment vertical="center"/>
    </xf>
    <xf numFmtId="0" fontId="14" fillId="16" borderId="0" xfId="0" applyFont="1" applyFill="1" applyAlignment="1">
      <alignment horizontal="left" vertical="center"/>
    </xf>
    <xf numFmtId="49" fontId="26" fillId="16" borderId="12" xfId="6" applyNumberFormat="1" applyFont="1" applyFill="1" applyBorder="1" applyAlignment="1">
      <alignment horizontal="center" textRotation="90" wrapText="1"/>
    </xf>
    <xf numFmtId="0" fontId="15" fillId="6" borderId="12" xfId="6" applyFont="1" applyFill="1" applyBorder="1" applyAlignment="1">
      <alignment horizontal="center" textRotation="90"/>
    </xf>
    <xf numFmtId="0" fontId="15" fillId="4" borderId="14" xfId="6" applyFont="1" applyFill="1" applyBorder="1" applyAlignment="1">
      <alignment horizontal="center" textRotation="90" wrapText="1"/>
    </xf>
    <xf numFmtId="0" fontId="15" fillId="4" borderId="15" xfId="6" applyFont="1" applyFill="1" applyBorder="1" applyAlignment="1">
      <alignment horizontal="center" textRotation="90" wrapText="1"/>
    </xf>
    <xf numFmtId="0" fontId="26" fillId="13" borderId="15" xfId="6" applyFont="1" applyFill="1" applyBorder="1" applyAlignment="1">
      <alignment horizontal="center" textRotation="90" wrapText="1"/>
    </xf>
    <xf numFmtId="0" fontId="26" fillId="5" borderId="15" xfId="6" applyFont="1" applyFill="1" applyBorder="1" applyAlignment="1">
      <alignment horizontal="center" textRotation="90" wrapText="1"/>
    </xf>
    <xf numFmtId="0" fontId="7" fillId="0" borderId="0" xfId="0" applyFont="1" applyAlignment="1">
      <alignment horizontal="left" textRotation="90"/>
    </xf>
    <xf numFmtId="0" fontId="9" fillId="0" borderId="12" xfId="0" applyFont="1" applyBorder="1" applyAlignment="1">
      <alignment horizontal="left" textRotation="90"/>
    </xf>
    <xf numFmtId="49" fontId="10" fillId="3" borderId="16" xfId="0" applyNumberFormat="1" applyFont="1" applyFill="1" applyBorder="1" applyAlignment="1">
      <alignment horizontal="center" vertical="center"/>
    </xf>
    <xf numFmtId="0" fontId="7" fillId="0" borderId="0" xfId="0" applyFont="1" applyAlignment="1">
      <alignment wrapText="1"/>
    </xf>
    <xf numFmtId="49" fontId="7" fillId="0" borderId="0" xfId="0" applyNumberFormat="1" applyFont="1" applyAlignment="1">
      <alignment horizontal="right" vertical="center"/>
    </xf>
    <xf numFmtId="0" fontId="7" fillId="0" borderId="0" xfId="0" applyFont="1" applyAlignment="1">
      <alignment vertical="center" wrapText="1"/>
    </xf>
    <xf numFmtId="0" fontId="15" fillId="14" borderId="21" xfId="6" applyFont="1" applyFill="1" applyBorder="1" applyAlignment="1">
      <alignment horizontal="left" textRotation="90" wrapText="1"/>
    </xf>
    <xf numFmtId="0" fontId="25" fillId="11" borderId="0" xfId="0" applyFont="1" applyFill="1" applyAlignment="1">
      <alignment horizontal="center" vertical="center"/>
    </xf>
    <xf numFmtId="49" fontId="25" fillId="11" borderId="0" xfId="0" applyNumberFormat="1" applyFont="1" applyFill="1" applyAlignment="1">
      <alignment horizontal="center" vertical="center"/>
    </xf>
    <xf numFmtId="0" fontId="8" fillId="0" borderId="0" xfId="0" applyFont="1"/>
    <xf numFmtId="49" fontId="10" fillId="3" borderId="24" xfId="0" applyNumberFormat="1" applyFont="1" applyFill="1" applyBorder="1" applyAlignment="1">
      <alignment vertical="center"/>
    </xf>
    <xf numFmtId="0" fontId="3" fillId="0" borderId="0" xfId="0" applyFont="1"/>
    <xf numFmtId="0" fontId="7" fillId="0" borderId="0" xfId="0" applyFont="1" applyAlignment="1">
      <alignment textRotation="90" wrapText="1"/>
    </xf>
    <xf numFmtId="0" fontId="7" fillId="0" borderId="0" xfId="0" applyFont="1" applyAlignment="1">
      <alignment horizontal="center" vertical="center" wrapText="1"/>
    </xf>
    <xf numFmtId="0" fontId="7" fillId="0" borderId="0" xfId="0" applyFont="1" applyAlignment="1">
      <alignment horizontal="center" wrapText="1"/>
    </xf>
    <xf numFmtId="49" fontId="9" fillId="0" borderId="23" xfId="0" applyNumberFormat="1" applyFont="1" applyBorder="1" applyAlignment="1">
      <alignment horizontal="left" vertical="top"/>
    </xf>
    <xf numFmtId="0" fontId="0" fillId="0" borderId="0" xfId="0" applyAlignment="1">
      <alignment textRotation="90"/>
    </xf>
    <xf numFmtId="0" fontId="2" fillId="0" borderId="0" xfId="0" applyFont="1" applyAlignment="1">
      <alignment horizontal="left" textRotation="90"/>
    </xf>
    <xf numFmtId="0" fontId="8" fillId="0" borderId="0" xfId="0" applyFont="1" applyAlignment="1">
      <alignment vertical="center" textRotation="90"/>
    </xf>
    <xf numFmtId="0" fontId="8" fillId="0" borderId="0" xfId="0" applyFont="1" applyAlignment="1" applyProtection="1">
      <alignment horizontal="center" vertical="top" wrapText="1"/>
      <protection locked="0"/>
    </xf>
    <xf numFmtId="49" fontId="25" fillId="11" borderId="12" xfId="0" applyNumberFormat="1" applyFont="1" applyFill="1" applyBorder="1" applyAlignment="1">
      <alignment horizontal="left" vertical="center" wrapText="1"/>
    </xf>
    <xf numFmtId="0" fontId="18" fillId="0" borderId="0" xfId="0" applyFont="1" applyAlignment="1" applyProtection="1">
      <alignment horizontal="center" vertical="top" wrapText="1"/>
      <protection locked="0"/>
    </xf>
    <xf numFmtId="0" fontId="25" fillId="11" borderId="0" xfId="0" applyFont="1" applyFill="1" applyAlignment="1">
      <alignment horizontal="center" vertical="center" wrapText="1"/>
    </xf>
    <xf numFmtId="0" fontId="18" fillId="11" borderId="12" xfId="0" applyFont="1" applyFill="1" applyBorder="1" applyAlignment="1">
      <alignment horizontal="center" vertical="center" wrapText="1"/>
    </xf>
    <xf numFmtId="0" fontId="27" fillId="11" borderId="12" xfId="0" applyFont="1" applyFill="1" applyBorder="1" applyAlignment="1">
      <alignment vertical="center" wrapText="1"/>
    </xf>
    <xf numFmtId="0" fontId="18" fillId="0" borderId="0" xfId="0" applyFont="1" applyAlignment="1" applyProtection="1">
      <alignment horizontal="left" vertical="top" wrapText="1"/>
      <protection locked="0"/>
    </xf>
    <xf numFmtId="49" fontId="25" fillId="11" borderId="12" xfId="0" applyNumberFormat="1" applyFont="1" applyFill="1" applyBorder="1" applyAlignment="1">
      <alignment horizontal="center" vertical="center" wrapText="1"/>
    </xf>
    <xf numFmtId="0" fontId="9" fillId="0" borderId="25" xfId="0" applyFont="1" applyBorder="1" applyAlignment="1">
      <alignment horizontal="left" vertical="top"/>
    </xf>
    <xf numFmtId="0" fontId="16" fillId="0" borderId="25" xfId="4" applyBorder="1" applyAlignment="1">
      <alignment horizontal="left" vertical="top"/>
    </xf>
    <xf numFmtId="0" fontId="13" fillId="0" borderId="0" xfId="0" applyFont="1" applyAlignment="1">
      <alignment vertical="top" wrapText="1"/>
    </xf>
    <xf numFmtId="0" fontId="12" fillId="0" borderId="12" xfId="0" applyFont="1" applyBorder="1" applyAlignment="1">
      <alignment horizontal="left" vertical="top"/>
    </xf>
    <xf numFmtId="0" fontId="7" fillId="0" borderId="12" xfId="0" applyFont="1" applyBorder="1" applyAlignment="1">
      <alignment vertical="top"/>
    </xf>
    <xf numFmtId="0" fontId="15" fillId="14" borderId="12" xfId="6" applyFont="1" applyFill="1" applyBorder="1" applyAlignment="1">
      <alignment horizontal="left" textRotation="90" wrapText="1"/>
    </xf>
    <xf numFmtId="0" fontId="25" fillId="18" borderId="12" xfId="0" applyFont="1" applyFill="1" applyBorder="1" applyAlignment="1">
      <alignment horizontal="center" vertical="center" wrapText="1"/>
    </xf>
    <xf numFmtId="0" fontId="2" fillId="0" borderId="12" xfId="0" applyFont="1" applyBorder="1" applyAlignment="1" applyProtection="1">
      <alignment vertical="top" wrapText="1"/>
      <protection locked="0"/>
    </xf>
    <xf numFmtId="0" fontId="2" fillId="18" borderId="12" xfId="0" applyFont="1" applyFill="1" applyBorder="1" applyAlignment="1" applyProtection="1">
      <alignment vertical="top" wrapText="1"/>
      <protection locked="0"/>
    </xf>
    <xf numFmtId="0" fontId="17" fillId="0" borderId="12" xfId="4" applyFont="1" applyBorder="1" applyAlignment="1" applyProtection="1">
      <alignment vertical="top" wrapText="1"/>
      <protection locked="0"/>
    </xf>
    <xf numFmtId="0" fontId="22" fillId="0" borderId="0" xfId="0" applyFont="1" applyAlignment="1" applyProtection="1">
      <alignment horizontal="center" vertical="top" wrapText="1"/>
      <protection locked="0"/>
    </xf>
    <xf numFmtId="0" fontId="22" fillId="0" borderId="0" xfId="0" applyFont="1" applyAlignment="1" applyProtection="1">
      <alignment horizontal="left" vertical="top" wrapText="1"/>
      <protection locked="0"/>
    </xf>
    <xf numFmtId="49" fontId="12" fillId="0" borderId="12" xfId="0" applyNumberFormat="1" applyFont="1" applyBorder="1" applyAlignment="1" applyProtection="1">
      <alignment vertical="top" wrapText="1"/>
      <protection locked="0"/>
    </xf>
    <xf numFmtId="49" fontId="8" fillId="0" borderId="12" xfId="0" applyNumberFormat="1" applyFont="1" applyBorder="1" applyAlignment="1" applyProtection="1">
      <alignment vertical="top" wrapText="1"/>
      <protection locked="0"/>
    </xf>
    <xf numFmtId="0" fontId="8" fillId="0" borderId="0" xfId="0" applyFont="1" applyAlignment="1" applyProtection="1">
      <alignment vertical="top" wrapText="1"/>
      <protection locked="0"/>
    </xf>
    <xf numFmtId="49" fontId="9" fillId="17" borderId="12" xfId="0" applyNumberFormat="1" applyFont="1" applyFill="1" applyBorder="1" applyAlignment="1" applyProtection="1">
      <alignment vertical="top" wrapText="1"/>
      <protection locked="0"/>
    </xf>
    <xf numFmtId="0" fontId="9" fillId="17" borderId="12" xfId="0" applyFont="1" applyFill="1" applyBorder="1" applyAlignment="1" applyProtection="1">
      <alignment horizontal="left" vertical="top"/>
      <protection locked="0"/>
    </xf>
    <xf numFmtId="49" fontId="25" fillId="18" borderId="12" xfId="0" applyNumberFormat="1" applyFont="1" applyFill="1" applyBorder="1" applyAlignment="1">
      <alignment horizontal="center" vertical="center" wrapText="1"/>
    </xf>
    <xf numFmtId="0" fontId="13" fillId="0" borderId="0" xfId="0" applyFont="1" applyAlignment="1">
      <alignment horizontal="left"/>
    </xf>
    <xf numFmtId="49" fontId="9" fillId="17" borderId="12" xfId="0" applyNumberFormat="1" applyFont="1" applyFill="1" applyBorder="1" applyAlignment="1">
      <alignment horizontal="left" vertical="center" wrapText="1"/>
    </xf>
    <xf numFmtId="49" fontId="9" fillId="0" borderId="12" xfId="0" applyNumberFormat="1" applyFont="1" applyBorder="1" applyAlignment="1">
      <alignment horizontal="left" vertical="center" wrapText="1"/>
    </xf>
    <xf numFmtId="49" fontId="9" fillId="0" borderId="23" xfId="0" applyNumberFormat="1" applyFont="1" applyBorder="1" applyAlignment="1">
      <alignment horizontal="left" vertical="center" wrapText="1"/>
    </xf>
    <xf numFmtId="49" fontId="9" fillId="0" borderId="12" xfId="0" applyNumberFormat="1" applyFont="1" applyBorder="1" applyAlignment="1" applyProtection="1">
      <alignment horizontal="left" vertical="top"/>
      <protection locked="0"/>
    </xf>
    <xf numFmtId="0" fontId="13" fillId="0" borderId="0" xfId="0" applyFont="1" applyAlignment="1">
      <alignment horizontal="left" vertical="top"/>
    </xf>
    <xf numFmtId="0" fontId="17" fillId="17" borderId="12" xfId="4" applyFont="1" applyFill="1" applyBorder="1" applyAlignment="1">
      <alignment horizontal="left" vertical="top"/>
    </xf>
    <xf numFmtId="0" fontId="17" fillId="0" borderId="12" xfId="4" applyFont="1" applyBorder="1" applyAlignment="1">
      <alignment horizontal="left" vertical="top"/>
    </xf>
    <xf numFmtId="0" fontId="8" fillId="0" borderId="0" xfId="0" applyFont="1" applyAlignment="1" applyProtection="1">
      <alignment horizontal="left" vertical="top"/>
      <protection locked="0"/>
    </xf>
    <xf numFmtId="49" fontId="9" fillId="17" borderId="12" xfId="0" applyNumberFormat="1" applyFont="1" applyFill="1" applyBorder="1" applyAlignment="1">
      <alignment horizontal="left" vertical="top"/>
    </xf>
    <xf numFmtId="0" fontId="17" fillId="0" borderId="12" xfId="4" applyFont="1" applyBorder="1" applyAlignment="1" applyProtection="1">
      <alignment horizontal="justify" vertical="top"/>
      <protection locked="0"/>
    </xf>
    <xf numFmtId="49" fontId="9" fillId="0" borderId="12" xfId="0" applyNumberFormat="1" applyFont="1" applyBorder="1" applyAlignment="1">
      <alignment horizontal="justify" vertical="top"/>
    </xf>
    <xf numFmtId="49" fontId="25" fillId="0" borderId="12" xfId="0" applyNumberFormat="1" applyFont="1" applyBorder="1" applyAlignment="1">
      <alignment horizontal="center" vertical="top"/>
    </xf>
    <xf numFmtId="0" fontId="15" fillId="0" borderId="21" xfId="6" applyFont="1" applyFill="1" applyBorder="1" applyAlignment="1">
      <alignment horizontal="left" textRotation="90" wrapText="1"/>
    </xf>
    <xf numFmtId="0" fontId="24" fillId="0" borderId="12" xfId="4" applyFont="1" applyBorder="1" applyAlignment="1" applyProtection="1">
      <alignment horizontal="left" vertical="top"/>
      <protection locked="0"/>
    </xf>
    <xf numFmtId="0" fontId="15" fillId="0" borderId="12" xfId="6" applyFont="1" applyFill="1" applyBorder="1" applyAlignment="1">
      <alignment horizontal="left" textRotation="90" wrapText="1"/>
    </xf>
    <xf numFmtId="0" fontId="15" fillId="18" borderId="12" xfId="6" applyFont="1" applyFill="1" applyBorder="1" applyAlignment="1">
      <alignment horizontal="left" textRotation="90" wrapText="1"/>
    </xf>
    <xf numFmtId="0" fontId="15" fillId="18" borderId="21" xfId="6" applyFont="1" applyFill="1" applyBorder="1" applyAlignment="1">
      <alignment horizontal="left" textRotation="90" wrapText="1"/>
    </xf>
    <xf numFmtId="0" fontId="10" fillId="0" borderId="0" xfId="0" applyFont="1" applyAlignment="1">
      <alignment horizontal="left" textRotation="90"/>
    </xf>
    <xf numFmtId="0" fontId="2" fillId="18" borderId="0" xfId="0" applyFont="1" applyFill="1" applyAlignment="1" applyProtection="1">
      <alignment horizontal="left" textRotation="90"/>
      <protection locked="0"/>
    </xf>
    <xf numFmtId="0" fontId="2" fillId="18" borderId="0" xfId="0" applyFont="1" applyFill="1" applyAlignment="1">
      <alignment horizontal="left" textRotation="90"/>
    </xf>
    <xf numFmtId="0" fontId="22" fillId="0" borderId="0" xfId="0" applyFont="1" applyAlignment="1" applyProtection="1">
      <alignment horizontal="left" vertical="center" wrapText="1"/>
      <protection locked="0"/>
    </xf>
    <xf numFmtId="0" fontId="9" fillId="0" borderId="0" xfId="0" applyFont="1" applyAlignment="1" applyProtection="1">
      <alignment vertical="top" wrapText="1"/>
      <protection locked="0"/>
    </xf>
    <xf numFmtId="0" fontId="8" fillId="0" borderId="0" xfId="0" applyFont="1" applyAlignment="1" applyProtection="1">
      <alignment vertical="center" wrapText="1"/>
      <protection locked="0"/>
    </xf>
    <xf numFmtId="0" fontId="18" fillId="0" borderId="0" xfId="0" applyFont="1" applyAlignment="1" applyProtection="1">
      <alignment horizontal="left" vertical="center" wrapText="1"/>
      <protection locked="0"/>
    </xf>
    <xf numFmtId="0" fontId="9" fillId="0" borderId="0" xfId="0" applyFont="1" applyAlignment="1" applyProtection="1">
      <alignment vertical="center" wrapText="1"/>
      <protection locked="0"/>
    </xf>
    <xf numFmtId="0" fontId="7" fillId="0" borderId="0" xfId="0" applyFont="1" applyAlignment="1" applyProtection="1">
      <alignment vertical="center" wrapText="1"/>
      <protection locked="0"/>
    </xf>
    <xf numFmtId="0" fontId="8" fillId="9" borderId="0" xfId="0" applyFont="1" applyFill="1" applyAlignment="1" applyProtection="1">
      <alignment horizontal="left" vertical="top" wrapText="1"/>
      <protection locked="0"/>
    </xf>
    <xf numFmtId="0" fontId="0" fillId="0" borderId="0" xfId="0" applyProtection="1">
      <protection locked="0"/>
    </xf>
    <xf numFmtId="0" fontId="8" fillId="0" borderId="0" xfId="0" applyFont="1" applyAlignment="1">
      <alignment vertical="top" wrapText="1"/>
    </xf>
    <xf numFmtId="0" fontId="8" fillId="0" borderId="0" xfId="0" applyFont="1" applyAlignment="1">
      <alignment vertical="top"/>
    </xf>
    <xf numFmtId="0" fontId="8" fillId="0" borderId="0" xfId="0" applyFont="1" applyAlignment="1">
      <alignment horizontal="left" vertical="top" wrapText="1"/>
    </xf>
    <xf numFmtId="14" fontId="8" fillId="9" borderId="0" xfId="0" applyNumberFormat="1" applyFont="1" applyFill="1" applyAlignment="1" applyProtection="1">
      <alignment horizontal="left" vertical="top" wrapText="1"/>
      <protection locked="0"/>
    </xf>
    <xf numFmtId="0" fontId="0" fillId="0" borderId="0" xfId="0"/>
    <xf numFmtId="0" fontId="16" fillId="0" borderId="0" xfId="4"/>
    <xf numFmtId="0" fontId="1" fillId="0" borderId="0" xfId="0" applyFont="1" applyAlignment="1" applyProtection="1">
      <alignment vertical="top" wrapText="1"/>
      <protection locked="0"/>
    </xf>
    <xf numFmtId="0" fontId="1" fillId="0" borderId="0" xfId="0" applyFont="1"/>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41</xdr:row>
      <xdr:rowOff>19050</xdr:rowOff>
    </xdr:from>
    <xdr:to>
      <xdr:col>3</xdr:col>
      <xdr:colOff>1779270</xdr:colOff>
      <xdr:row>41</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twoCellAnchor editAs="oneCell">
    <xdr:from>
      <xdr:col>2</xdr:col>
      <xdr:colOff>381000</xdr:colOff>
      <xdr:row>9</xdr:row>
      <xdr:rowOff>47625</xdr:rowOff>
    </xdr:from>
    <xdr:to>
      <xdr:col>4</xdr:col>
      <xdr:colOff>1378585</xdr:colOff>
      <xdr:row>9</xdr:row>
      <xdr:rowOff>431800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609600" y="2152650"/>
          <a:ext cx="5760085" cy="38417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iederhergestellterexternerHyper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G%20Katalog"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ertekatalog"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uildagil.sharepoint.com/teams/181890/Freigegebene%20Dokumente/200%20Expert%20Groups/openBIM/P.5502.01%20HE%20Data%20Dictionaries/Data%20Template%20Fl&#228;chenmanagement.xlsx" TargetMode="External"/><Relationship Id="rId1" Type="http://schemas.openxmlformats.org/officeDocument/2006/relationships/externalLinkPath" Target="https://buildagil.sharepoint.com/teams/181890/Freigegebene%20Dokumente/200%20Expert%20Groups/openBIM/P.5502.01%20HE%20Data%20Dictionaries/Data%20Template%20Fl&#228;chenmanag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Objekte"/>
      <sheetName val="Merkmalsgruppen_Merkmale"/>
      <sheetName val="Dokumentgruppen_Dokumente"/>
      <sheetName val="Datenvorlage Flächen"/>
      <sheetName val="Use Case Flächenmanagement"/>
      <sheetName val="Mgmt-Regeln"/>
      <sheetName val="Gelöschte Bauteile"/>
      <sheetName val="Dropdownregeln"/>
      <sheetName val="bSDD Enumeration"/>
      <sheetName val="Class SIA_416"/>
      <sheetName val="Class SIA_380"/>
      <sheetName val="Class SIA_d_0165"/>
      <sheetName val="Class CH OccupancyType"/>
      <sheetName val="Class SIA_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 Katalog"/>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rtekatalog"/>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Anleitung"/>
      <sheetName val="Objekte"/>
      <sheetName val="Merkmale_Merkmalsgruppen"/>
      <sheetName val="Wertekatalog"/>
      <sheetName val="Dokumente_Dokumentgruppen"/>
      <sheetName val="DT_DE_Flächenmanagement"/>
      <sheetName val="Gelöschte Bauteile"/>
      <sheetName val="DT_FR_Gestion des surfaces"/>
      <sheetName val="Dropdownregeln"/>
    </sheetNames>
    <sheetDataSet>
      <sheetData sheetId="0"/>
      <sheetData sheetId="1"/>
      <sheetData sheetId="2"/>
      <sheetData sheetId="3">
        <row r="8">
          <cell r="F8" t="str">
            <v>Vordefinierter Typ</v>
          </cell>
          <cell r="G8" t="str">
            <v>PredefinedType</v>
          </cell>
        </row>
        <row r="9">
          <cell r="F9" t="str">
            <v>Objekttyp</v>
          </cell>
          <cell r="G9" t="str">
            <v>ObjectType</v>
          </cell>
        </row>
        <row r="10">
          <cell r="F10" t="str">
            <v>ID</v>
          </cell>
          <cell r="G10" t="str">
            <v>Name</v>
          </cell>
        </row>
        <row r="11">
          <cell r="F11" t="str">
            <v>Raumbezeichnung</v>
          </cell>
          <cell r="G11" t="str">
            <v>LongName</v>
          </cell>
        </row>
        <row r="12">
          <cell r="F12" t="str">
            <v>Flächenart SIA 416</v>
          </cell>
          <cell r="G12" t="str">
            <v>SIA_416_2003_Code</v>
          </cell>
        </row>
        <row r="13">
          <cell r="F13" t="str">
            <v>Flächenart SIA 416</v>
          </cell>
          <cell r="G13" t="str">
            <v>SIA_416_2003_Label</v>
          </cell>
        </row>
        <row r="14">
          <cell r="F14" t="str">
            <v>Raumbezeichnung SIA 380</v>
          </cell>
          <cell r="G14" t="str">
            <v>SIA_380_2015_Code</v>
          </cell>
        </row>
        <row r="15">
          <cell r="F15" t="str">
            <v>Raumbezeichnung SIA 380</v>
          </cell>
          <cell r="G15" t="str">
            <v>SIA_380_2015_Label</v>
          </cell>
        </row>
        <row r="16">
          <cell r="F16" t="str">
            <v>Raumnutzung SIA 2024</v>
          </cell>
          <cell r="G16" t="str">
            <v>SIA_2024_2021_Code</v>
          </cell>
        </row>
        <row r="17">
          <cell r="F17" t="str">
            <v>Raumnutzung SIA 2024</v>
          </cell>
          <cell r="G17" t="str">
            <v>SIA_2024_2021_Label</v>
          </cell>
        </row>
        <row r="18">
          <cell r="F18" t="str">
            <v>Flächenart d0165</v>
          </cell>
          <cell r="G18" t="str">
            <v>SIA_d0615_2000_Code</v>
          </cell>
        </row>
        <row r="19">
          <cell r="F19" t="str">
            <v>Flächenart d0165</v>
          </cell>
          <cell r="G19" t="str">
            <v>SIA_d0615_2000_Label</v>
          </cell>
        </row>
        <row r="20">
          <cell r="F20" t="str">
            <v>Raumnutzung</v>
          </cell>
          <cell r="G20" t="str">
            <v>ProgramUse</v>
          </cell>
        </row>
        <row r="21">
          <cell r="F21" t="str">
            <v>Raumtyp</v>
          </cell>
          <cell r="G21" t="str">
            <v>RoomType</v>
          </cell>
        </row>
        <row r="22">
          <cell r="F22" t="str">
            <v>Einheitstyp</v>
          </cell>
          <cell r="G22" t="str">
            <v>UnitType</v>
          </cell>
        </row>
        <row r="23">
          <cell r="F23" t="str">
            <v>Einheitsnummer</v>
          </cell>
          <cell r="G23" t="str">
            <v>Unit_ID</v>
          </cell>
        </row>
        <row r="24">
          <cell r="F24" t="str">
            <v>Raumnummer_Betrieb</v>
          </cell>
          <cell r="G24" t="str">
            <v>RoomNumberFM</v>
          </cell>
        </row>
        <row r="25">
          <cell r="F25" t="str">
            <v>Raumbeschriftung</v>
          </cell>
          <cell r="G25" t="str">
            <v>RoomSignalLabel</v>
          </cell>
        </row>
        <row r="26">
          <cell r="F26" t="str">
            <v>Reinigungsgruppe</v>
          </cell>
          <cell r="G26" t="str">
            <v>CleaningGroup</v>
          </cell>
        </row>
        <row r="27">
          <cell r="F27" t="str">
            <v>Flächenlast</v>
          </cell>
          <cell r="G27" t="str">
            <v>AreaLoad</v>
          </cell>
        </row>
        <row r="28">
          <cell r="F28" t="str">
            <v>Punktlast</v>
          </cell>
          <cell r="G28" t="str">
            <v>PointLoad</v>
          </cell>
        </row>
        <row r="29">
          <cell r="F29" t="str">
            <v>Energiebezugsfläche</v>
          </cell>
          <cell r="G29" t="str">
            <v>EnergyReferenceArea</v>
          </cell>
        </row>
        <row r="30">
          <cell r="F30" t="str">
            <v>Fensterfläche</v>
          </cell>
          <cell r="G30" t="str">
            <v>WindowsCleaningArea</v>
          </cell>
        </row>
        <row r="31">
          <cell r="F31" t="str">
            <v>Fenster öffenbar</v>
          </cell>
          <cell r="G31" t="str">
            <v>WindowsOpenable</v>
          </cell>
        </row>
        <row r="32">
          <cell r="F32" t="str">
            <v>Raumnutzer</v>
          </cell>
          <cell r="G32" t="str">
            <v>Occupant</v>
          </cell>
        </row>
        <row r="33">
          <cell r="F33" t="str">
            <v>Sonnenschutz</v>
          </cell>
          <cell r="G33" t="str">
            <v>Shading</v>
          </cell>
        </row>
        <row r="34">
          <cell r="F34" t="str">
            <v>Befeuchtet</v>
          </cell>
          <cell r="G34" t="str">
            <v>IsHumidified</v>
          </cell>
        </row>
        <row r="35">
          <cell r="F35" t="str">
            <v>Entfeuchtet</v>
          </cell>
          <cell r="G35" t="str">
            <v>IsDehumidified</v>
          </cell>
        </row>
        <row r="36">
          <cell r="F36" t="str">
            <v>Vermietbarkeit</v>
          </cell>
          <cell r="G36" t="str">
            <v>IsRentable</v>
          </cell>
        </row>
        <row r="37">
          <cell r="F37" t="str">
            <v>Aussenraum</v>
          </cell>
          <cell r="G37" t="str">
            <v>IsExternal</v>
          </cell>
        </row>
        <row r="38">
          <cell r="F38" t="str">
            <v>Nutzungsart</v>
          </cell>
          <cell r="G38" t="str">
            <v>OccupancyType</v>
          </cell>
        </row>
        <row r="39">
          <cell r="F39" t="str">
            <v>Raumnutzhöhe</v>
          </cell>
          <cell r="G39" t="str">
            <v>MinimumHeadroom</v>
          </cell>
        </row>
        <row r="40">
          <cell r="F40" t="str">
            <v>Personenbelegung geplant</v>
          </cell>
          <cell r="G40" t="str">
            <v>OccupancyNumberPeak</v>
          </cell>
        </row>
        <row r="41">
          <cell r="F41" t="str">
            <v>Personenbelegung ist</v>
          </cell>
          <cell r="G41" t="str">
            <v>OccupancyNumber</v>
          </cell>
        </row>
        <row r="42">
          <cell r="F42" t="str">
            <v>Bodenbelag</v>
          </cell>
          <cell r="G42" t="str">
            <v>FloorCovering</v>
          </cell>
        </row>
        <row r="43">
          <cell r="F43" t="str">
            <v>Wandbelag</v>
          </cell>
          <cell r="G43" t="str">
            <v>WallCovering</v>
          </cell>
        </row>
        <row r="44">
          <cell r="F44" t="str">
            <v>Deckenmaterial</v>
          </cell>
          <cell r="G44" t="str">
            <v>CeilingCovering</v>
          </cell>
        </row>
        <row r="45">
          <cell r="F45" t="str">
            <v>Natürliche Belüftung</v>
          </cell>
          <cell r="G45" t="str">
            <v>NaturalVentilation</v>
          </cell>
        </row>
        <row r="46">
          <cell r="F46" t="str">
            <v>Natürliche Luftwechselrate</v>
          </cell>
          <cell r="G46" t="str">
            <v>NaturalVentilationRate</v>
          </cell>
        </row>
        <row r="47">
          <cell r="F47" t="str">
            <v>Mechanische Belüftung</v>
          </cell>
          <cell r="G47" t="str">
            <v>MechanicalVentilation</v>
          </cell>
        </row>
        <row r="48">
          <cell r="F48" t="str">
            <v>Mechanische Luftwechselrate</v>
          </cell>
          <cell r="G48" t="str">
            <v>MechanicalVentilationRate</v>
          </cell>
        </row>
        <row r="49">
          <cell r="F49" t="str">
            <v>Klimatisiert</v>
          </cell>
          <cell r="G49" t="str">
            <v>AirConditioning</v>
          </cell>
        </row>
        <row r="50">
          <cell r="F50" t="str">
            <v>Temperatur Ziel</v>
          </cell>
          <cell r="G50" t="str">
            <v>TemperatureSetPoint</v>
          </cell>
        </row>
        <row r="51">
          <cell r="F51" t="str">
            <v>Luftfeuchtigkeit Ziel</v>
          </cell>
          <cell r="G51" t="str">
            <v>HumiditySetPoint</v>
          </cell>
        </row>
        <row r="52">
          <cell r="F52" t="str">
            <v>Fluchtweg</v>
          </cell>
          <cell r="G52" t="str">
            <v>FireExit</v>
          </cell>
        </row>
        <row r="53">
          <cell r="F53" t="str">
            <v>Bruttofläche</v>
          </cell>
          <cell r="G53" t="str">
            <v>GrossFloorArea</v>
          </cell>
        </row>
        <row r="54">
          <cell r="F54" t="str">
            <v>Bruttovolumen</v>
          </cell>
          <cell r="G54" t="str">
            <v>GrossVolume</v>
          </cell>
        </row>
        <row r="55">
          <cell r="F55" t="str">
            <v>Nettofläche</v>
          </cell>
          <cell r="G55" t="str">
            <v>NetFloorArea</v>
          </cell>
        </row>
        <row r="56">
          <cell r="F56" t="str">
            <v>Nettovolumen</v>
          </cell>
          <cell r="G56" t="str">
            <v>NetVolume</v>
          </cell>
        </row>
        <row r="57">
          <cell r="F57" t="str">
            <v>Wandfläche netto</v>
          </cell>
          <cell r="G57" t="str">
            <v>NetWallArea</v>
          </cell>
        </row>
        <row r="58">
          <cell r="F58" t="str">
            <v>Höhe</v>
          </cell>
          <cell r="G58" t="str">
            <v>Height</v>
          </cell>
        </row>
        <row r="59">
          <cell r="G59" t="str">
            <v>AboveGround</v>
          </cell>
        </row>
        <row r="60">
          <cell r="G60" t="str">
            <v>CostZone</v>
          </cell>
        </row>
      </sheetData>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Thomas Glättli" id="{EA48CA6A-A703-43CD-BB12-143A35ABA4F1}" userId="S::thomas.glaettli@bauen-digital.ch::cff664c6-4529-4007-a4f9-c440f150b332"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7" dT="2026-06-30T07:29:50.61" personId="{EA48CA6A-A703-43CD-BB12-143A35ABA4F1}" id="{405CC5EC-ADE5-4B34-B76C-8F3AE8611E1A}">
    <text xml:space="preserve">Bezug zu welcher Spalte?
</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6-06-30T08:09:51.31" personId="{EA48CA6A-A703-43CD-BB12-143A35ABA4F1}" id="{ED7749C3-5C45-4506-9171-FB602A62DD21}">
    <text>Werteliste-Code dazugefügt</text>
  </threadedComment>
  <threadedComment ref="O1" dT="2026-06-30T07:39:08.77" personId="{EA48CA6A-A703-43CD-BB12-143A35ABA4F1}" id="{1AA58E4C-300F-4F3C-AB35-8E6DC3C16AC2}">
    <text xml:space="preserve">Muss hier nicht auf die Merkmale verlinkt werden?
</text>
  </threadedComment>
  <threadedComment ref="G8" dT="2026-06-30T07:31:25.37" personId="{EA48CA6A-A703-43CD-BB12-143A35ABA4F1}" id="{8235AC3E-6B4C-40B7-8229-231FB4E19563}">
    <text>Fehler in der Zelle, beim reinkopieren wird der Inhalt um 2 Zellen nach unten verschoben</text>
  </threadedComment>
  <threadedComment ref="L17" dT="2026-06-30T08:10:16.23" personId="{EA48CA6A-A703-43CD-BB12-143A35ABA4F1}" id="{5BBF9FE4-2183-4A44-BE6F-AED37EDFCAFB}">
    <text>Gint es beim Wert „Verkauf Möbel, Bau, Garten“ einen Fehler?</text>
  </threadedComment>
</ThreadedComments>
</file>

<file path=xl/threadedComments/threadedComment3.xml><?xml version="1.0" encoding="utf-8"?>
<ThreadedComments xmlns="http://schemas.microsoft.com/office/spreadsheetml/2018/threadedcomments" xmlns:x="http://schemas.openxmlformats.org/spreadsheetml/2006/main">
  <threadedComment ref="O1" dT="2026-06-30T07:41:18.69" personId="{EA48CA6A-A703-43CD-BB12-143A35ABA4F1}" id="{5E397DCF-1A81-47FF-BE76-088FECD90F82}">
    <text>Spalte löschen</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dentifier.buildingsmart.org/uri/buildingsmart/ifc/4.3/class/IfcBuildingStore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dentifier.buildingsmart.org/uri/buildingsmart/ifc/4.3/prop/TemperatureSetPoint" TargetMode="External"/><Relationship Id="rId13" Type="http://schemas.openxmlformats.org/officeDocument/2006/relationships/hyperlink" Target="https://identifier.buildingsmart.org/uri/buildingsmart/ifc/4.3/prop/NetFloorArea" TargetMode="External"/><Relationship Id="rId18" Type="http://schemas.openxmlformats.org/officeDocument/2006/relationships/hyperlink" Target="https://identifier.buildingsmart.org/uri/buildingsmart/ifc/4.3/prop/OccupancyNumber" TargetMode="External"/><Relationship Id="rId3" Type="http://schemas.openxmlformats.org/officeDocument/2006/relationships/hyperlink" Target="https://identifier.buildingsmart.org/uri/buildingsmart/ifc/4.3/prop/NaturalVentilation" TargetMode="External"/><Relationship Id="rId21" Type="http://schemas.openxmlformats.org/officeDocument/2006/relationships/vmlDrawing" Target="../drawings/vmlDrawing1.vml"/><Relationship Id="rId7" Type="http://schemas.openxmlformats.org/officeDocument/2006/relationships/hyperlink" Target="https://identifier.buildingsmart.org/uri/buildingsmart/ifc/4.3/prop/AirConditioning" TargetMode="External"/><Relationship Id="rId12" Type="http://schemas.openxmlformats.org/officeDocument/2006/relationships/hyperlink" Target="https://identifier.buildingsmart.org/uri/buildingsmart/ifc/4.3/prop/GrossVolume" TargetMode="External"/><Relationship Id="rId17" Type="http://schemas.openxmlformats.org/officeDocument/2006/relationships/hyperlink" Target="https://identifier.buildingsmart.org/uri/buildingsmart/ifc/4.3/prop/OccupancyNumberPeak" TargetMode="External"/><Relationship Id="rId2" Type="http://schemas.openxmlformats.org/officeDocument/2006/relationships/hyperlink" Target="https://identifier.buildingsmart.org/uri/buildingsmart/ifc/4.3/prop/CeilingCovering" TargetMode="External"/><Relationship Id="rId16" Type="http://schemas.openxmlformats.org/officeDocument/2006/relationships/hyperlink" Target="https://identifier.buildingsmart.org/uri/buildingsmart/ifc/4.3/prop/IsExternal" TargetMode="External"/><Relationship Id="rId20" Type="http://schemas.openxmlformats.org/officeDocument/2006/relationships/hyperlink" Target="https://identifier.buildingsmart.org/uri/buildingsmart/ifc/4.3/prop/Height" TargetMode="External"/><Relationship Id="rId1" Type="http://schemas.openxmlformats.org/officeDocument/2006/relationships/hyperlink" Target="https://identifier.buildingsmart.org/uri/buildingsmart/ifc/4.3/prop/WallCovering" TargetMode="External"/><Relationship Id="rId6" Type="http://schemas.openxmlformats.org/officeDocument/2006/relationships/hyperlink" Target="https://identifier.buildingsmart.org/uri/buildingsmart/ifc/4.3/prop/MechanicalVentilationRate" TargetMode="External"/><Relationship Id="rId11" Type="http://schemas.openxmlformats.org/officeDocument/2006/relationships/hyperlink" Target="https://identifier.buildingsmart.org/uri/buildingsmart/ifc/4.3/prop/GrossFloorArea" TargetMode="External"/><Relationship Id="rId5" Type="http://schemas.openxmlformats.org/officeDocument/2006/relationships/hyperlink" Target="https://identifier.buildingsmart.org/uri/buildingsmart/ifc/4.3/prop/MechanicalVentilation" TargetMode="External"/><Relationship Id="rId15" Type="http://schemas.openxmlformats.org/officeDocument/2006/relationships/hyperlink" Target="https://identifier.buildingsmart.org/uri/buildingsmart/ifc/4.3/prop/OccupancyType" TargetMode="External"/><Relationship Id="rId23" Type="http://schemas.microsoft.com/office/2017/10/relationships/threadedComment" Target="../threadedComments/threadedComment1.xml"/><Relationship Id="rId10" Type="http://schemas.openxmlformats.org/officeDocument/2006/relationships/hyperlink" Target="https://identifier.buildingsmart.org/uri/buildingsmart/ifc/4.3/prop/FireExit" TargetMode="External"/><Relationship Id="rId19" Type="http://schemas.openxmlformats.org/officeDocument/2006/relationships/hyperlink" Target="https://identifier.buildingsmart.org/uri/buildingsmart/ifc/4.3/prop/FloorCovering" TargetMode="External"/><Relationship Id="rId4" Type="http://schemas.openxmlformats.org/officeDocument/2006/relationships/hyperlink" Target="https://identifier.buildingsmart.org/uri/buildingsmart/ifc/4.3/prop/NaturalVentilationRate" TargetMode="External"/><Relationship Id="rId9" Type="http://schemas.openxmlformats.org/officeDocument/2006/relationships/hyperlink" Target="https://identifier.buildingsmart.org/uri/buildingsmart/ifc/4.3/prop/HumiditySetPoint" TargetMode="External"/><Relationship Id="rId14" Type="http://schemas.openxmlformats.org/officeDocument/2006/relationships/hyperlink" Target="https://identifier.buildingsmart.org/uri/buildingsmart/ifc/4.3/prop/NetVolume" TargetMode="External"/><Relationship Id="rId2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25781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10" width="11.42578125" style="37" customWidth="1"/>
    <col min="11" max="16384" width="11.42578125" style="37"/>
  </cols>
  <sheetData>
    <row r="1" spans="2:7" ht="17.649999999999999" customHeight="1" x14ac:dyDescent="0.25">
      <c r="B1" s="45" t="s">
        <v>55</v>
      </c>
      <c r="C1" s="45"/>
    </row>
    <row r="3" spans="2:7" x14ac:dyDescent="0.25">
      <c r="B3" s="40" t="s">
        <v>56</v>
      </c>
    </row>
    <row r="4" spans="2:7" ht="15" customHeight="1" x14ac:dyDescent="0.25">
      <c r="C4" s="37" t="s">
        <v>26</v>
      </c>
      <c r="D4" s="251" t="s">
        <v>57</v>
      </c>
      <c r="E4" s="252"/>
    </row>
    <row r="5" spans="2:7" ht="15" customHeight="1" x14ac:dyDescent="0.25">
      <c r="C5" s="37" t="s">
        <v>58</v>
      </c>
      <c r="D5" s="251" t="s">
        <v>59</v>
      </c>
      <c r="E5" s="252"/>
    </row>
    <row r="6" spans="2:7" ht="15" customHeight="1" x14ac:dyDescent="0.25">
      <c r="C6" s="37" t="s">
        <v>60</v>
      </c>
      <c r="D6" s="256">
        <v>46152</v>
      </c>
      <c r="E6" s="252"/>
    </row>
    <row r="7" spans="2:7" ht="15" customHeight="1" x14ac:dyDescent="0.25">
      <c r="C7" s="37" t="s">
        <v>61</v>
      </c>
      <c r="D7" s="251" t="s">
        <v>62</v>
      </c>
      <c r="E7" s="252"/>
    </row>
    <row r="8" spans="2:7" ht="14.25" customHeight="1" x14ac:dyDescent="0.25"/>
    <row r="9" spans="2:7" ht="14.25" customHeight="1" x14ac:dyDescent="0.25">
      <c r="B9" s="40" t="s">
        <v>63</v>
      </c>
    </row>
    <row r="10" spans="2:7" ht="34.5" customHeight="1" x14ac:dyDescent="0.25"/>
    <row r="11" spans="2:7" ht="14.25" customHeight="1" x14ac:dyDescent="0.25"/>
    <row r="12" spans="2:7" ht="14.25" customHeight="1" x14ac:dyDescent="0.25">
      <c r="B12" s="40" t="s">
        <v>64</v>
      </c>
    </row>
    <row r="13" spans="2:7" ht="14.25" customHeight="1" x14ac:dyDescent="0.25">
      <c r="C13" s="46" t="s">
        <v>65</v>
      </c>
      <c r="E13" s="46" t="s">
        <v>66</v>
      </c>
      <c r="G13" s="76"/>
    </row>
    <row r="14" spans="2:7" ht="14.25" customHeight="1" x14ac:dyDescent="0.25">
      <c r="C14" s="46" t="s">
        <v>67</v>
      </c>
      <c r="E14" s="46" t="s">
        <v>68</v>
      </c>
      <c r="G14" s="76"/>
    </row>
    <row r="15" spans="2:7" ht="23.25" customHeight="1" x14ac:dyDescent="0.25">
      <c r="C15" s="46" t="s">
        <v>69</v>
      </c>
      <c r="D15" s="46" t="s">
        <v>70</v>
      </c>
      <c r="E15" s="46" t="s">
        <v>71</v>
      </c>
    </row>
    <row r="16" spans="2:7" ht="14.25" customHeight="1" x14ac:dyDescent="0.25">
      <c r="C16" s="46" t="s">
        <v>72</v>
      </c>
      <c r="D16" s="46" t="s">
        <v>73</v>
      </c>
      <c r="E16" s="46" t="s">
        <v>74</v>
      </c>
    </row>
    <row r="17" spans="2:5" ht="14.25" customHeight="1" x14ac:dyDescent="0.25">
      <c r="C17" s="46" t="s">
        <v>75</v>
      </c>
      <c r="D17" s="46" t="s">
        <v>76</v>
      </c>
      <c r="E17" s="46" t="s">
        <v>77</v>
      </c>
    </row>
    <row r="18" spans="2:5" ht="14.25" customHeight="1" x14ac:dyDescent="0.25">
      <c r="C18" s="46" t="s">
        <v>78</v>
      </c>
      <c r="D18" s="46" t="s">
        <v>79</v>
      </c>
      <c r="E18" s="46" t="s">
        <v>80</v>
      </c>
    </row>
    <row r="19" spans="2:5" ht="14.25" customHeight="1" x14ac:dyDescent="0.25">
      <c r="C19" s="46" t="s">
        <v>81</v>
      </c>
      <c r="D19" s="46" t="s">
        <v>82</v>
      </c>
      <c r="E19" s="46" t="s">
        <v>83</v>
      </c>
    </row>
    <row r="20" spans="2:5" ht="14.25" customHeight="1" x14ac:dyDescent="0.25">
      <c r="C20" s="46" t="s">
        <v>84</v>
      </c>
      <c r="D20" s="46" t="s">
        <v>85</v>
      </c>
      <c r="E20" s="46" t="s">
        <v>86</v>
      </c>
    </row>
    <row r="21" spans="2:5" ht="14.25" customHeight="1" x14ac:dyDescent="0.25">
      <c r="C21" s="46" t="s">
        <v>87</v>
      </c>
      <c r="D21" s="46" t="s">
        <v>88</v>
      </c>
      <c r="E21" s="46" t="s">
        <v>89</v>
      </c>
    </row>
    <row r="22" spans="2:5" ht="14.25" customHeight="1" x14ac:dyDescent="0.25">
      <c r="C22" s="46" t="s">
        <v>90</v>
      </c>
      <c r="D22" s="46" t="s">
        <v>91</v>
      </c>
      <c r="E22" s="46" t="s">
        <v>92</v>
      </c>
    </row>
    <row r="23" spans="2:5" ht="14.25" customHeight="1" x14ac:dyDescent="0.25">
      <c r="C23" s="46" t="s">
        <v>93</v>
      </c>
      <c r="D23" s="46" t="s">
        <v>94</v>
      </c>
      <c r="E23" s="46" t="s">
        <v>95</v>
      </c>
    </row>
    <row r="24" spans="2:5" ht="14.25" customHeight="1" x14ac:dyDescent="0.25">
      <c r="C24" s="46" t="s">
        <v>96</v>
      </c>
      <c r="D24" s="46" t="s">
        <v>97</v>
      </c>
      <c r="E24" s="46"/>
    </row>
    <row r="25" spans="2:5" ht="14.25" customHeight="1" x14ac:dyDescent="0.25">
      <c r="C25" s="46" t="s">
        <v>98</v>
      </c>
      <c r="D25" s="46" t="s">
        <v>99</v>
      </c>
      <c r="E25" s="46"/>
    </row>
    <row r="26" spans="2:5" ht="14.25" customHeight="1" x14ac:dyDescent="0.25">
      <c r="C26" s="46" t="s">
        <v>100</v>
      </c>
      <c r="D26" s="46" t="s">
        <v>101</v>
      </c>
      <c r="E26" s="46"/>
    </row>
    <row r="27" spans="2:5" ht="14.25" customHeight="1" x14ac:dyDescent="0.25"/>
    <row r="28" spans="2:5" x14ac:dyDescent="0.25">
      <c r="B28" s="40" t="s">
        <v>102</v>
      </c>
      <c r="D28" s="255" t="s">
        <v>103</v>
      </c>
      <c r="E28" s="254"/>
    </row>
    <row r="29" spans="2:5" x14ac:dyDescent="0.25">
      <c r="D29" s="255" t="s">
        <v>104</v>
      </c>
      <c r="E29" s="254"/>
    </row>
    <row r="30" spans="2:5" x14ac:dyDescent="0.25">
      <c r="D30" s="255" t="s">
        <v>105</v>
      </c>
      <c r="E30" s="254"/>
    </row>
    <row r="31" spans="2:5" x14ac:dyDescent="0.25">
      <c r="D31" s="255" t="s">
        <v>106</v>
      </c>
      <c r="E31" s="254"/>
    </row>
    <row r="32" spans="2:5" x14ac:dyDescent="0.25">
      <c r="D32" s="255" t="s">
        <v>107</v>
      </c>
      <c r="E32" s="254"/>
    </row>
    <row r="33" spans="2:5" ht="25.5" customHeight="1" x14ac:dyDescent="0.25">
      <c r="D33" s="255" t="s">
        <v>108</v>
      </c>
      <c r="E33" s="254"/>
    </row>
    <row r="34" spans="2:5" ht="38.25" customHeight="1" x14ac:dyDescent="0.25">
      <c r="D34" s="255" t="s">
        <v>109</v>
      </c>
      <c r="E34" s="254"/>
    </row>
    <row r="35" spans="2:5" x14ac:dyDescent="0.25">
      <c r="D35" s="255" t="s">
        <v>110</v>
      </c>
      <c r="E35" s="254"/>
    </row>
    <row r="36" spans="2:5" x14ac:dyDescent="0.25">
      <c r="D36" s="253"/>
      <c r="E36" s="254"/>
    </row>
    <row r="38" spans="2:5" x14ac:dyDescent="0.25">
      <c r="B38" s="40" t="s">
        <v>111</v>
      </c>
    </row>
    <row r="39" spans="2:5" ht="27" customHeight="1" x14ac:dyDescent="0.25">
      <c r="D39" s="253"/>
      <c r="E39" s="254"/>
    </row>
    <row r="40" spans="2:5" x14ac:dyDescent="0.25">
      <c r="D40" s="253"/>
      <c r="E40" s="254"/>
    </row>
    <row r="41" spans="2:5" ht="14.25" customHeight="1" x14ac:dyDescent="0.25">
      <c r="D41" s="257" t="s">
        <v>112</v>
      </c>
      <c r="E41" s="254"/>
    </row>
    <row r="42" spans="2:5" ht="24.75" customHeight="1" x14ac:dyDescent="0.25"/>
    <row r="44" spans="2:5" x14ac:dyDescent="0.25">
      <c r="C44" s="40"/>
    </row>
    <row r="45" spans="2:5" x14ac:dyDescent="0.25">
      <c r="D45" s="253"/>
      <c r="E45" s="254"/>
    </row>
    <row r="48" spans="2:5" x14ac:dyDescent="0.25">
      <c r="D48" s="253"/>
      <c r="E48" s="254"/>
    </row>
    <row r="49" spans="3:5" ht="14.25" customHeight="1" x14ac:dyDescent="0.25">
      <c r="C49" s="33"/>
      <c r="D49" s="257" t="s">
        <v>113</v>
      </c>
      <c r="E49" s="254"/>
    </row>
    <row r="50" spans="3:5" x14ac:dyDescent="0.25">
      <c r="D50" s="43"/>
      <c r="E50" s="33"/>
    </row>
  </sheetData>
  <mergeCells count="19">
    <mergeCell ref="D49:E49"/>
    <mergeCell ref="D32:E32"/>
    <mergeCell ref="D41:E41"/>
    <mergeCell ref="D48:E48"/>
    <mergeCell ref="D7:E7"/>
    <mergeCell ref="D28:E28"/>
    <mergeCell ref="D34:E34"/>
    <mergeCell ref="D40:E40"/>
    <mergeCell ref="D36:E36"/>
    <mergeCell ref="D31:E31"/>
    <mergeCell ref="D45:E45"/>
    <mergeCell ref="D4:E4"/>
    <mergeCell ref="D39:E39"/>
    <mergeCell ref="D30:E30"/>
    <mergeCell ref="D33:E33"/>
    <mergeCell ref="D29:E29"/>
    <mergeCell ref="D5:E5"/>
    <mergeCell ref="D35:E35"/>
    <mergeCell ref="D6:E6"/>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20" zoomScaleNormal="100" workbookViewId="0">
      <selection activeCell="C38" sqref="C38"/>
    </sheetView>
  </sheetViews>
  <sheetFormatPr baseColWidth="10" defaultColWidth="11.42578125" defaultRowHeight="15" outlineLevelRow="1" x14ac:dyDescent="0.25"/>
  <cols>
    <col min="1" max="1" width="7.85546875" style="146"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19" width="4.28515625" style="37" customWidth="1"/>
    <col min="20" max="24" width="11.42578125" style="37" customWidth="1"/>
    <col min="25" max="16384" width="11.42578125" style="37"/>
  </cols>
  <sheetData>
    <row r="1" spans="1:19" s="143" customFormat="1" ht="20.100000000000001" customHeight="1" x14ac:dyDescent="0.25">
      <c r="A1" s="147" t="s">
        <v>114</v>
      </c>
      <c r="B1" s="144"/>
      <c r="C1" s="144"/>
      <c r="D1" s="144"/>
      <c r="E1" s="144"/>
      <c r="F1" s="144"/>
      <c r="G1" s="144"/>
      <c r="H1" s="144"/>
      <c r="I1" s="144"/>
      <c r="J1" s="144"/>
      <c r="K1" s="144"/>
      <c r="L1" s="144"/>
      <c r="M1" s="144"/>
      <c r="N1" s="144"/>
      <c r="O1" s="144"/>
      <c r="P1" s="144"/>
      <c r="Q1" s="144"/>
      <c r="R1" s="144"/>
      <c r="S1" s="144"/>
    </row>
    <row r="2" spans="1:19" ht="13.15" customHeight="1" x14ac:dyDescent="0.25">
      <c r="D2" s="37"/>
    </row>
    <row r="3" spans="1:19" s="143" customFormat="1" ht="20.100000000000001" customHeight="1" x14ac:dyDescent="0.25">
      <c r="A3" s="145"/>
      <c r="B3" s="148" t="s">
        <v>115</v>
      </c>
      <c r="C3" s="149"/>
      <c r="D3" s="149"/>
      <c r="E3" s="149"/>
      <c r="F3" s="149"/>
      <c r="G3" s="149"/>
      <c r="H3" s="149"/>
      <c r="I3" s="149"/>
      <c r="J3" s="149"/>
      <c r="K3" s="149"/>
      <c r="L3" s="149"/>
      <c r="M3" s="149"/>
      <c r="N3" s="149"/>
      <c r="O3" s="149"/>
      <c r="P3" s="149"/>
      <c r="Q3" s="149"/>
      <c r="R3" s="149"/>
      <c r="S3" s="150"/>
    </row>
    <row r="4" spans="1:19" ht="13.15" customHeight="1" outlineLevel="1" x14ac:dyDescent="0.25">
      <c r="B4" s="138"/>
      <c r="D4" s="37"/>
    </row>
    <row r="5" spans="1:19" ht="13.15" customHeight="1" outlineLevel="1" x14ac:dyDescent="0.25">
      <c r="B5" s="138">
        <v>1</v>
      </c>
      <c r="C5" s="37" t="s">
        <v>116</v>
      </c>
      <c r="D5" s="37"/>
    </row>
    <row r="6" spans="1:19" ht="13.15" customHeight="1" outlineLevel="1" x14ac:dyDescent="0.25">
      <c r="B6" s="138">
        <v>2</v>
      </c>
      <c r="C6" s="37" t="s">
        <v>25</v>
      </c>
      <c r="D6" s="37"/>
      <c r="L6" s="127"/>
      <c r="M6" s="127"/>
      <c r="N6" s="40"/>
      <c r="O6" s="127"/>
    </row>
    <row r="7" spans="1:19" ht="13.15" customHeight="1" outlineLevel="1" x14ac:dyDescent="0.25">
      <c r="B7" s="138">
        <v>3</v>
      </c>
      <c r="C7" s="37" t="s">
        <v>6</v>
      </c>
      <c r="D7" s="37"/>
      <c r="L7" s="127"/>
      <c r="M7" s="127"/>
      <c r="N7" s="40"/>
      <c r="O7" s="127"/>
    </row>
    <row r="8" spans="1:19" ht="13.15" customHeight="1" outlineLevel="1" x14ac:dyDescent="0.25">
      <c r="B8" s="138">
        <v>4</v>
      </c>
      <c r="C8" s="37" t="s">
        <v>29</v>
      </c>
      <c r="D8" s="37"/>
      <c r="L8" s="127"/>
      <c r="M8" s="127"/>
      <c r="N8" s="40"/>
      <c r="O8" s="127"/>
    </row>
    <row r="9" spans="1:19" ht="13.15" customHeight="1" outlineLevel="1" x14ac:dyDescent="0.25">
      <c r="B9" s="138">
        <v>5</v>
      </c>
      <c r="C9" s="37" t="s">
        <v>117</v>
      </c>
      <c r="D9" s="37"/>
      <c r="L9" s="127"/>
      <c r="M9" s="127"/>
      <c r="N9" s="40"/>
      <c r="O9" s="127"/>
    </row>
    <row r="10" spans="1:19" ht="13.15" customHeight="1" outlineLevel="1" x14ac:dyDescent="0.25">
      <c r="B10" s="138">
        <v>6</v>
      </c>
      <c r="C10" s="37" t="s">
        <v>118</v>
      </c>
      <c r="D10" s="37"/>
      <c r="L10" s="127"/>
      <c r="M10" s="127"/>
      <c r="N10" s="40"/>
      <c r="O10" s="127"/>
    </row>
    <row r="11" spans="1:19" ht="13.15" customHeight="1" outlineLevel="1" x14ac:dyDescent="0.25">
      <c r="B11" s="138">
        <v>7</v>
      </c>
      <c r="C11" s="37" t="s">
        <v>119</v>
      </c>
      <c r="D11" s="37"/>
      <c r="L11" s="127"/>
      <c r="M11" s="127"/>
      <c r="N11" s="40"/>
      <c r="O11" s="127"/>
    </row>
    <row r="12" spans="1:19" ht="13.15" customHeight="1" outlineLevel="1" x14ac:dyDescent="0.25"/>
    <row r="13" spans="1:19" ht="18" customHeight="1" x14ac:dyDescent="0.25">
      <c r="B13" s="148" t="s">
        <v>1</v>
      </c>
      <c r="C13" s="149"/>
    </row>
    <row r="15" spans="1:19" ht="12.75" customHeight="1" x14ac:dyDescent="0.25">
      <c r="D15" s="129" t="s">
        <v>120</v>
      </c>
      <c r="E15" s="129" t="s">
        <v>121</v>
      </c>
      <c r="F15" s="129" t="s">
        <v>122</v>
      </c>
      <c r="G15" s="129" t="s">
        <v>123</v>
      </c>
      <c r="H15" s="37"/>
      <c r="K15" s="37"/>
      <c r="P15" s="37"/>
      <c r="Q15" s="37"/>
    </row>
    <row r="16" spans="1:19" ht="182.25" customHeight="1" outlineLevel="1" x14ac:dyDescent="0.25">
      <c r="B16" s="106" t="s">
        <v>1</v>
      </c>
      <c r="C16" s="174" t="s">
        <v>124</v>
      </c>
      <c r="D16" s="174" t="s">
        <v>32</v>
      </c>
      <c r="E16" s="174" t="s">
        <v>33</v>
      </c>
      <c r="F16" s="174" t="s">
        <v>39</v>
      </c>
      <c r="G16" s="174" t="s">
        <v>42</v>
      </c>
      <c r="K16" s="37"/>
      <c r="L16" s="127"/>
      <c r="M16" s="127"/>
      <c r="N16" s="40"/>
      <c r="O16" s="127"/>
      <c r="P16" s="37"/>
      <c r="Q16" s="37"/>
    </row>
    <row r="17" spans="1:19" s="38" customFormat="1" ht="15" customHeight="1" outlineLevel="1" x14ac:dyDescent="0.25">
      <c r="A17" s="151"/>
      <c r="B17" s="130" t="s">
        <v>125</v>
      </c>
      <c r="C17" s="128" t="s">
        <v>126</v>
      </c>
      <c r="F17" s="48"/>
      <c r="G17" s="48"/>
      <c r="H17" s="48"/>
      <c r="K17" s="48"/>
      <c r="L17" s="44"/>
      <c r="M17" s="44"/>
      <c r="N17" s="37"/>
      <c r="O17" s="44"/>
      <c r="P17" s="48"/>
      <c r="Q17" s="48"/>
    </row>
    <row r="18" spans="1:19" s="38" customFormat="1" ht="15" customHeight="1" outlineLevel="1" x14ac:dyDescent="0.25">
      <c r="A18" s="151"/>
      <c r="B18" s="132"/>
      <c r="C18" s="128" t="s">
        <v>127</v>
      </c>
      <c r="F18" s="48"/>
      <c r="G18" s="48"/>
      <c r="H18" s="48"/>
      <c r="K18" s="48"/>
      <c r="L18" s="44"/>
      <c r="M18" s="44"/>
      <c r="N18" s="37"/>
      <c r="O18" s="44"/>
      <c r="P18" s="48"/>
      <c r="Q18" s="48"/>
    </row>
    <row r="19" spans="1:19" s="38" customFormat="1" ht="15" customHeight="1" outlineLevel="1" x14ac:dyDescent="0.25">
      <c r="A19" s="151"/>
      <c r="B19" s="130" t="s">
        <v>120</v>
      </c>
      <c r="C19" s="128" t="s">
        <v>32</v>
      </c>
      <c r="F19" s="48"/>
      <c r="G19" s="48"/>
      <c r="H19" s="48"/>
      <c r="K19" s="48"/>
      <c r="L19" s="127"/>
      <c r="M19" s="127"/>
      <c r="N19" s="40"/>
      <c r="O19" s="127"/>
      <c r="P19" s="48"/>
      <c r="Q19" s="48"/>
    </row>
    <row r="20" spans="1:19" s="38" customFormat="1" ht="15" customHeight="1" outlineLevel="1" x14ac:dyDescent="0.25">
      <c r="A20" s="151"/>
      <c r="B20" s="132"/>
      <c r="C20" s="128" t="s">
        <v>128</v>
      </c>
      <c r="F20" s="48"/>
      <c r="G20" s="48"/>
      <c r="H20" s="48"/>
      <c r="K20" s="48"/>
      <c r="L20" s="127"/>
      <c r="M20" s="127"/>
      <c r="N20" s="40"/>
      <c r="O20" s="127"/>
      <c r="P20" s="48"/>
      <c r="Q20" s="48"/>
    </row>
    <row r="21" spans="1:19" s="38" customFormat="1" ht="15" customHeight="1" outlineLevel="1" x14ac:dyDescent="0.25">
      <c r="A21" s="151"/>
      <c r="B21" s="130" t="s">
        <v>121</v>
      </c>
      <c r="C21" s="128" t="s">
        <v>33</v>
      </c>
      <c r="F21" s="48"/>
      <c r="G21" s="48"/>
      <c r="H21" s="48"/>
      <c r="K21" s="48"/>
      <c r="L21" s="44"/>
      <c r="M21" s="44"/>
      <c r="N21" s="37"/>
      <c r="O21" s="44"/>
      <c r="P21" s="48"/>
      <c r="Q21" s="48"/>
    </row>
    <row r="22" spans="1:19" s="38" customFormat="1" ht="15" customHeight="1" outlineLevel="1" x14ac:dyDescent="0.25">
      <c r="A22" s="151"/>
      <c r="B22" s="132"/>
      <c r="C22" s="128" t="s">
        <v>129</v>
      </c>
      <c r="F22" s="48"/>
      <c r="G22" s="48"/>
      <c r="H22" s="48"/>
      <c r="K22" s="48"/>
      <c r="L22" s="44"/>
      <c r="M22" s="44"/>
      <c r="N22" s="37"/>
      <c r="O22" s="44"/>
      <c r="P22" s="48"/>
      <c r="Q22" s="48"/>
    </row>
    <row r="23" spans="1:19" s="38" customFormat="1" ht="15" customHeight="1" outlineLevel="1" x14ac:dyDescent="0.25">
      <c r="A23" s="151"/>
      <c r="B23" s="130" t="s">
        <v>122</v>
      </c>
      <c r="C23" s="128" t="s">
        <v>39</v>
      </c>
      <c r="F23" s="48"/>
      <c r="G23" s="48"/>
      <c r="H23" s="48"/>
      <c r="K23" s="48"/>
      <c r="L23" s="127"/>
      <c r="M23" s="127"/>
      <c r="N23" s="40"/>
      <c r="O23" s="127"/>
      <c r="P23" s="48"/>
      <c r="Q23" s="48"/>
    </row>
    <row r="24" spans="1:19" s="38" customFormat="1" ht="15" customHeight="1" outlineLevel="1" x14ac:dyDescent="0.25">
      <c r="A24" s="151"/>
      <c r="B24" s="132"/>
      <c r="C24" s="128" t="s">
        <v>130</v>
      </c>
      <c r="F24" s="48"/>
      <c r="G24" s="48"/>
      <c r="H24" s="48"/>
      <c r="K24" s="48"/>
      <c r="L24" s="127"/>
      <c r="M24" s="127"/>
      <c r="N24" s="40"/>
      <c r="O24" s="127"/>
      <c r="P24" s="48"/>
      <c r="Q24" s="48"/>
    </row>
    <row r="25" spans="1:19" s="38" customFormat="1" ht="15" customHeight="1" outlineLevel="1" x14ac:dyDescent="0.25">
      <c r="A25" s="151"/>
      <c r="B25" s="130" t="s">
        <v>123</v>
      </c>
      <c r="C25" s="128" t="s">
        <v>42</v>
      </c>
      <c r="F25" s="48"/>
      <c r="G25" s="48"/>
      <c r="H25" s="48"/>
      <c r="K25" s="48"/>
      <c r="L25" s="44"/>
      <c r="M25" s="44"/>
      <c r="N25" s="37"/>
      <c r="O25" s="44"/>
      <c r="P25" s="48"/>
      <c r="Q25" s="48"/>
    </row>
    <row r="26" spans="1:19" s="38" customFormat="1" ht="15" customHeight="1" outlineLevel="1" x14ac:dyDescent="0.25">
      <c r="A26" s="151"/>
      <c r="B26" s="132"/>
      <c r="C26" s="38" t="s">
        <v>131</v>
      </c>
      <c r="F26" s="48"/>
      <c r="G26" s="48"/>
      <c r="H26" s="48"/>
      <c r="K26" s="48"/>
      <c r="L26" s="44"/>
      <c r="M26" s="44"/>
      <c r="N26" s="37"/>
      <c r="O26" s="44"/>
      <c r="P26" s="48"/>
      <c r="Q26" s="48"/>
    </row>
    <row r="27" spans="1:19" s="40" customFormat="1" ht="13.15" customHeight="1" outlineLevel="1" x14ac:dyDescent="0.25">
      <c r="A27" s="146"/>
      <c r="F27" s="127"/>
      <c r="G27" s="127"/>
      <c r="H27" s="127"/>
      <c r="K27" s="127"/>
      <c r="L27" s="127"/>
      <c r="M27" s="127"/>
      <c r="O27" s="127"/>
      <c r="P27" s="127"/>
      <c r="Q27" s="127"/>
    </row>
    <row r="28" spans="1:19" s="143" customFormat="1" ht="20.100000000000001" customHeight="1" x14ac:dyDescent="0.25">
      <c r="A28" s="145">
        <v>2</v>
      </c>
      <c r="B28" s="160" t="s">
        <v>25</v>
      </c>
      <c r="C28" s="161"/>
      <c r="D28" s="161"/>
      <c r="E28" s="161"/>
      <c r="F28" s="161"/>
      <c r="G28" s="161"/>
      <c r="H28" s="161"/>
      <c r="I28" s="161"/>
      <c r="J28" s="161"/>
      <c r="K28" s="161"/>
      <c r="L28" s="161"/>
      <c r="M28" s="161"/>
      <c r="N28" s="161"/>
      <c r="O28" s="161"/>
      <c r="P28" s="161"/>
      <c r="Q28" s="161"/>
      <c r="R28" s="161"/>
      <c r="S28" s="162"/>
    </row>
    <row r="29" spans="1:19" s="40" customFormat="1" ht="13.15" customHeight="1" outlineLevel="1" x14ac:dyDescent="0.25">
      <c r="A29" s="146"/>
      <c r="F29" s="127"/>
      <c r="G29" s="127"/>
      <c r="K29" s="127"/>
      <c r="L29" s="127"/>
      <c r="M29" s="127"/>
      <c r="O29" s="127"/>
      <c r="P29" s="127"/>
      <c r="Q29" s="127"/>
    </row>
    <row r="30" spans="1:19" s="40" customFormat="1" ht="13.15" customHeight="1" outlineLevel="1" x14ac:dyDescent="0.25">
      <c r="A30" s="146"/>
      <c r="B30" s="37" t="s">
        <v>132</v>
      </c>
      <c r="F30" s="127"/>
      <c r="G30" s="127"/>
      <c r="K30" s="127"/>
      <c r="L30" s="127"/>
      <c r="M30" s="127"/>
      <c r="O30" s="127"/>
      <c r="P30" s="127"/>
      <c r="Q30" s="127"/>
    </row>
    <row r="31" spans="1:19" s="40" customFormat="1" ht="13.15" customHeight="1" outlineLevel="1" x14ac:dyDescent="0.25">
      <c r="A31" s="146"/>
      <c r="B31" s="37" t="s">
        <v>133</v>
      </c>
      <c r="F31" s="127"/>
      <c r="G31" s="127"/>
      <c r="K31" s="127"/>
      <c r="L31" s="127"/>
      <c r="M31" s="127"/>
      <c r="O31" s="127"/>
      <c r="P31" s="127"/>
      <c r="Q31" s="127"/>
    </row>
    <row r="32" spans="1:19" s="40" customFormat="1" ht="13.15" customHeight="1" outlineLevel="1" x14ac:dyDescent="0.25">
      <c r="A32" s="146"/>
      <c r="F32" s="127"/>
      <c r="G32" s="127"/>
      <c r="K32" s="127"/>
      <c r="L32" s="127"/>
      <c r="M32" s="127"/>
      <c r="O32" s="127"/>
      <c r="P32" s="127"/>
      <c r="Q32" s="127"/>
    </row>
    <row r="33" spans="1:17" ht="15" customHeight="1" outlineLevel="1" x14ac:dyDescent="0.25">
      <c r="B33" s="129" t="s">
        <v>125</v>
      </c>
      <c r="C33" s="129" t="s">
        <v>120</v>
      </c>
      <c r="D33" s="129" t="s">
        <v>121</v>
      </c>
      <c r="E33" s="129" t="s">
        <v>122</v>
      </c>
      <c r="F33" s="129" t="s">
        <v>123</v>
      </c>
      <c r="G33" s="129" t="s">
        <v>134</v>
      </c>
      <c r="H33" s="129" t="s">
        <v>135</v>
      </c>
      <c r="K33" s="37"/>
      <c r="L33" s="37"/>
      <c r="M33" s="37"/>
      <c r="O33" s="37"/>
      <c r="P33" s="37"/>
      <c r="Q33" s="37"/>
    </row>
    <row r="34" spans="1:17" ht="265.5" customHeight="1" outlineLevel="1" x14ac:dyDescent="0.25">
      <c r="B34" s="101" t="s">
        <v>25</v>
      </c>
      <c r="C34" s="140" t="s">
        <v>26</v>
      </c>
      <c r="D34" s="140" t="s">
        <v>27</v>
      </c>
      <c r="E34" s="140" t="s">
        <v>28</v>
      </c>
      <c r="F34" s="140" t="s">
        <v>136</v>
      </c>
      <c r="G34" s="140" t="s">
        <v>137</v>
      </c>
      <c r="H34" s="140" t="s">
        <v>138</v>
      </c>
      <c r="K34" s="37"/>
      <c r="L34" s="37"/>
      <c r="M34" s="37"/>
      <c r="O34" s="37"/>
      <c r="P34" s="37"/>
      <c r="Q34" s="37"/>
    </row>
    <row r="35" spans="1:17" s="38" customFormat="1" ht="15" customHeight="1" outlineLevel="1" x14ac:dyDescent="0.25">
      <c r="A35" s="146"/>
      <c r="B35" s="129" t="s">
        <v>120</v>
      </c>
      <c r="C35" s="128" t="s">
        <v>139</v>
      </c>
      <c r="F35" s="48"/>
      <c r="G35" s="48"/>
      <c r="H35" s="48"/>
      <c r="K35" s="48"/>
      <c r="L35" s="48"/>
      <c r="M35" s="48"/>
      <c r="O35" s="48"/>
      <c r="P35" s="48"/>
      <c r="Q35" s="48"/>
    </row>
    <row r="36" spans="1:17" s="38" customFormat="1" ht="15" customHeight="1" outlineLevel="1" x14ac:dyDescent="0.25">
      <c r="A36" s="146"/>
      <c r="B36" s="130" t="s">
        <v>121</v>
      </c>
      <c r="C36" s="128" t="s">
        <v>140</v>
      </c>
      <c r="F36" s="48"/>
      <c r="G36" s="48"/>
      <c r="H36" s="48"/>
      <c r="K36" s="48"/>
      <c r="L36" s="48"/>
      <c r="M36" s="48"/>
      <c r="O36" s="48"/>
      <c r="P36" s="48"/>
    </row>
    <row r="37" spans="1:17" x14ac:dyDescent="0.25">
      <c r="F37" s="48"/>
      <c r="G37" s="48"/>
      <c r="H37" s="48"/>
      <c r="K37" s="48"/>
      <c r="L37" s="48"/>
      <c r="M37" s="48"/>
      <c r="O37" s="48"/>
      <c r="P37" s="48"/>
    </row>
    <row r="38" spans="1:17" x14ac:dyDescent="0.25">
      <c r="C38" s="128" t="s">
        <v>141</v>
      </c>
      <c r="F38" s="48"/>
      <c r="G38" s="48"/>
      <c r="H38" s="48"/>
      <c r="K38" s="48"/>
      <c r="L38" s="48"/>
      <c r="M38" s="48"/>
      <c r="O38" s="48"/>
      <c r="P38" s="48"/>
    </row>
    <row r="39" spans="1:17" x14ac:dyDescent="0.25">
      <c r="C39" s="128" t="s">
        <v>142</v>
      </c>
      <c r="F39" s="48"/>
      <c r="G39" s="48"/>
      <c r="H39" s="48"/>
      <c r="K39" s="48"/>
      <c r="L39" s="48"/>
      <c r="M39" s="48"/>
      <c r="O39" s="48"/>
      <c r="P39" s="48"/>
    </row>
    <row r="40" spans="1:17" x14ac:dyDescent="0.25">
      <c r="F40" s="48"/>
      <c r="G40" s="48"/>
      <c r="H40" s="48"/>
      <c r="K40" s="48"/>
      <c r="L40" s="48"/>
      <c r="M40" s="48"/>
      <c r="O40" s="48"/>
      <c r="P40" s="48"/>
    </row>
    <row r="41" spans="1:17" x14ac:dyDescent="0.25">
      <c r="F41" s="48"/>
      <c r="G41" s="48"/>
      <c r="H41" s="48"/>
      <c r="K41" s="48"/>
      <c r="L41" s="48"/>
      <c r="M41" s="48"/>
      <c r="O41" s="48"/>
      <c r="P41" s="48"/>
    </row>
    <row r="42" spans="1:17" x14ac:dyDescent="0.25">
      <c r="C42" s="128" t="s">
        <v>143</v>
      </c>
      <c r="F42" s="48"/>
      <c r="G42" s="48"/>
      <c r="H42" s="48"/>
      <c r="K42" s="48"/>
      <c r="L42" s="48"/>
      <c r="M42" s="48"/>
      <c r="O42" s="48"/>
      <c r="P42" s="48"/>
    </row>
    <row r="43" spans="1:17" x14ac:dyDescent="0.25">
      <c r="F43" s="48"/>
      <c r="G43" s="48"/>
      <c r="H43" s="48"/>
      <c r="K43" s="48"/>
      <c r="L43" s="48"/>
      <c r="M43" s="48"/>
      <c r="O43" s="48"/>
      <c r="P43" s="48"/>
    </row>
    <row r="44" spans="1:17" x14ac:dyDescent="0.25">
      <c r="F44" s="48"/>
      <c r="G44" s="48"/>
      <c r="H44" s="48"/>
      <c r="K44" s="48"/>
      <c r="L44" s="48"/>
      <c r="M44" s="48"/>
      <c r="O44" s="48"/>
      <c r="P44" s="48"/>
    </row>
    <row r="45" spans="1:17" x14ac:dyDescent="0.25">
      <c r="C45" s="128" t="s">
        <v>144</v>
      </c>
      <c r="F45" s="48"/>
      <c r="G45" s="48"/>
      <c r="H45" s="48"/>
      <c r="K45" s="48"/>
      <c r="L45" s="48"/>
      <c r="M45" s="48"/>
      <c r="O45" s="48"/>
      <c r="P45" s="48"/>
    </row>
    <row r="46" spans="1:17" x14ac:dyDescent="0.25">
      <c r="F46" s="48"/>
      <c r="G46" s="48"/>
      <c r="H46" s="48"/>
      <c r="K46" s="48"/>
      <c r="L46" s="48"/>
      <c r="M46" s="48"/>
      <c r="O46" s="48"/>
      <c r="P46" s="48"/>
    </row>
    <row r="47" spans="1:17" x14ac:dyDescent="0.25">
      <c r="F47" s="48"/>
      <c r="G47" s="48"/>
      <c r="H47" s="48"/>
      <c r="K47" s="48"/>
      <c r="L47" s="48"/>
      <c r="M47" s="48"/>
      <c r="O47" s="48"/>
      <c r="P47" s="48"/>
    </row>
    <row r="48" spans="1:17" x14ac:dyDescent="0.25">
      <c r="F48" s="48"/>
      <c r="G48" s="48"/>
      <c r="H48" s="48"/>
      <c r="K48" s="48"/>
      <c r="L48" s="48"/>
      <c r="M48" s="48"/>
      <c r="O48" s="48"/>
      <c r="P48" s="48"/>
    </row>
    <row r="50" spans="1:19" ht="18" customHeight="1" x14ac:dyDescent="0.25">
      <c r="B50" s="152" t="s">
        <v>6</v>
      </c>
      <c r="C50" s="153"/>
    </row>
    <row r="52" spans="1:19" x14ac:dyDescent="0.25">
      <c r="C52" s="129" t="s">
        <v>120</v>
      </c>
      <c r="E52" s="129" t="s">
        <v>122</v>
      </c>
      <c r="F52" s="129" t="s">
        <v>123</v>
      </c>
      <c r="G52" s="129" t="s">
        <v>134</v>
      </c>
      <c r="H52" s="129" t="s">
        <v>135</v>
      </c>
      <c r="I52" s="129" t="s">
        <v>145</v>
      </c>
      <c r="J52" s="129" t="s">
        <v>146</v>
      </c>
      <c r="K52" s="129" t="s">
        <v>147</v>
      </c>
      <c r="L52" s="129" t="s">
        <v>148</v>
      </c>
      <c r="M52" s="129" t="s">
        <v>149</v>
      </c>
      <c r="N52" s="129" t="s">
        <v>150</v>
      </c>
      <c r="O52" s="129" t="s">
        <v>151</v>
      </c>
      <c r="P52" s="129" t="s">
        <v>152</v>
      </c>
      <c r="R52" s="129" t="s">
        <v>153</v>
      </c>
      <c r="S52" s="129" t="s">
        <v>154</v>
      </c>
    </row>
    <row r="53" spans="1:19" ht="129.94999999999999" customHeight="1" outlineLevel="1" x14ac:dyDescent="0.25">
      <c r="B53" s="126" t="s">
        <v>2</v>
      </c>
      <c r="C53" s="140" t="s">
        <v>3</v>
      </c>
      <c r="E53" s="140" t="s">
        <v>5</v>
      </c>
      <c r="F53" s="126" t="s">
        <v>6</v>
      </c>
      <c r="G53" s="140" t="s">
        <v>7</v>
      </c>
      <c r="H53" s="140" t="s">
        <v>8</v>
      </c>
      <c r="I53" s="140" t="s">
        <v>10</v>
      </c>
      <c r="J53" s="140" t="s">
        <v>155</v>
      </c>
      <c r="K53" s="140" t="s">
        <v>156</v>
      </c>
      <c r="L53" s="140" t="s">
        <v>157</v>
      </c>
      <c r="M53" s="140" t="s">
        <v>158</v>
      </c>
      <c r="N53" s="126" t="s">
        <v>19</v>
      </c>
      <c r="O53" s="140" t="s">
        <v>7</v>
      </c>
      <c r="P53" s="140" t="s">
        <v>21</v>
      </c>
      <c r="R53" s="140" t="s">
        <v>23</v>
      </c>
      <c r="S53" s="140" t="s">
        <v>24</v>
      </c>
    </row>
    <row r="54" spans="1:19" ht="13.15" customHeight="1" outlineLevel="1" x14ac:dyDescent="0.25"/>
    <row r="55" spans="1:19" x14ac:dyDescent="0.25">
      <c r="B55" s="154" t="s">
        <v>2</v>
      </c>
      <c r="C55" s="155"/>
    </row>
    <row r="57" spans="1:19" x14ac:dyDescent="0.25">
      <c r="C57" s="129" t="s">
        <v>120</v>
      </c>
      <c r="E57" s="129" t="s">
        <v>122</v>
      </c>
      <c r="F57" s="37"/>
    </row>
    <row r="58" spans="1:19" ht="129.94999999999999" customHeight="1" outlineLevel="1" x14ac:dyDescent="0.25">
      <c r="B58" s="126" t="s">
        <v>2</v>
      </c>
      <c r="C58" s="174" t="s">
        <v>3</v>
      </c>
      <c r="E58" s="140" t="s">
        <v>5</v>
      </c>
      <c r="F58" s="37"/>
      <c r="G58" s="37"/>
      <c r="H58" s="37"/>
      <c r="K58" s="37"/>
      <c r="L58" s="37"/>
      <c r="M58" s="37"/>
      <c r="O58" s="37"/>
      <c r="P58" s="37"/>
    </row>
    <row r="59" spans="1:19" x14ac:dyDescent="0.25">
      <c r="C59" s="128" t="s">
        <v>159</v>
      </c>
      <c r="F59" s="48"/>
      <c r="G59" s="48"/>
      <c r="H59" s="48"/>
      <c r="K59" s="48"/>
      <c r="L59" s="48"/>
      <c r="M59" s="48"/>
      <c r="O59" s="48"/>
      <c r="P59" s="48"/>
      <c r="Q59" s="48"/>
    </row>
    <row r="60" spans="1:19" s="38" customFormat="1" ht="15" customHeight="1" outlineLevel="1" x14ac:dyDescent="0.25">
      <c r="A60" s="151"/>
      <c r="B60" s="129" t="s">
        <v>121</v>
      </c>
      <c r="C60" s="128" t="s">
        <v>160</v>
      </c>
      <c r="F60" s="48"/>
      <c r="G60" s="48"/>
      <c r="H60" s="48"/>
      <c r="K60" s="48"/>
      <c r="L60" s="48"/>
      <c r="M60" s="48"/>
      <c r="O60" s="48"/>
      <c r="P60" s="48"/>
      <c r="Q60" s="48"/>
    </row>
    <row r="61" spans="1:19" s="38" customFormat="1" ht="15" customHeight="1" outlineLevel="1" x14ac:dyDescent="0.25">
      <c r="A61" s="151"/>
      <c r="B61" s="129" t="s">
        <v>122</v>
      </c>
      <c r="C61" s="128" t="s">
        <v>161</v>
      </c>
      <c r="F61" s="48"/>
      <c r="G61" s="48"/>
      <c r="H61" s="48"/>
      <c r="K61" s="48"/>
      <c r="L61" s="48"/>
      <c r="M61" s="48"/>
      <c r="O61" s="48"/>
      <c r="P61" s="48"/>
      <c r="Q61" s="48"/>
    </row>
    <row r="62" spans="1:19" ht="13.15" customHeight="1" outlineLevel="1" x14ac:dyDescent="0.25">
      <c r="D62" s="44"/>
      <c r="E62" s="44"/>
    </row>
    <row r="63" spans="1:19" s="142" customFormat="1" ht="15" customHeight="1" x14ac:dyDescent="0.25">
      <c r="A63" s="151">
        <v>3.2</v>
      </c>
      <c r="B63" s="154" t="s">
        <v>6</v>
      </c>
      <c r="C63" s="155"/>
      <c r="D63" s="155"/>
      <c r="E63" s="155"/>
      <c r="F63" s="155"/>
      <c r="G63" s="155"/>
      <c r="H63" s="155"/>
      <c r="I63" s="155"/>
      <c r="J63" s="155"/>
      <c r="K63" s="155"/>
      <c r="L63" s="155"/>
      <c r="M63" s="155"/>
      <c r="N63" s="155"/>
      <c r="O63" s="155"/>
      <c r="P63" s="155"/>
      <c r="Q63" s="155"/>
      <c r="R63" s="155"/>
      <c r="S63" s="156"/>
    </row>
    <row r="64" spans="1:19" ht="13.15" customHeight="1" outlineLevel="1" x14ac:dyDescent="0.25">
      <c r="D64" s="44"/>
      <c r="E64" s="44"/>
    </row>
    <row r="65" spans="1:19" ht="15" customHeight="1" outlineLevel="1" x14ac:dyDescent="0.25">
      <c r="B65" s="129" t="s">
        <v>123</v>
      </c>
      <c r="C65" s="129" t="s">
        <v>134</v>
      </c>
      <c r="D65" s="129" t="s">
        <v>135</v>
      </c>
      <c r="E65" s="129" t="s">
        <v>145</v>
      </c>
      <c r="F65" s="129" t="s">
        <v>146</v>
      </c>
      <c r="G65" s="129" t="s">
        <v>147</v>
      </c>
      <c r="H65" s="129" t="s">
        <v>148</v>
      </c>
      <c r="I65" s="129" t="s">
        <v>149</v>
      </c>
    </row>
    <row r="66" spans="1:19" ht="111.75" customHeight="1" outlineLevel="1" x14ac:dyDescent="0.25">
      <c r="B66" s="126" t="s">
        <v>6</v>
      </c>
      <c r="C66" s="174" t="s">
        <v>7</v>
      </c>
      <c r="D66" s="140" t="s">
        <v>8</v>
      </c>
      <c r="E66" s="140" t="s">
        <v>10</v>
      </c>
      <c r="F66" s="140" t="s">
        <v>155</v>
      </c>
      <c r="G66" s="140" t="s">
        <v>156</v>
      </c>
      <c r="H66" s="140" t="s">
        <v>157</v>
      </c>
      <c r="I66" s="140" t="s">
        <v>158</v>
      </c>
      <c r="J66" s="133"/>
      <c r="K66" s="37"/>
      <c r="L66" s="37"/>
      <c r="M66" s="37"/>
      <c r="O66" s="37"/>
      <c r="P66" s="37"/>
      <c r="Q66" s="37"/>
    </row>
    <row r="67" spans="1:19" s="38" customFormat="1" ht="15" customHeight="1" outlineLevel="1" x14ac:dyDescent="0.25">
      <c r="A67" s="151"/>
      <c r="B67" s="129" t="s">
        <v>134</v>
      </c>
      <c r="C67" s="128" t="s">
        <v>162</v>
      </c>
      <c r="F67" s="48"/>
      <c r="G67" s="48"/>
      <c r="H67" s="48"/>
      <c r="K67" s="48"/>
      <c r="L67" s="48"/>
      <c r="M67" s="48"/>
      <c r="O67" s="48"/>
      <c r="P67" s="48"/>
      <c r="Q67" s="48"/>
    </row>
    <row r="68" spans="1:19" s="38" customFormat="1" ht="15" customHeight="1" outlineLevel="1" x14ac:dyDescent="0.25">
      <c r="A68" s="151"/>
      <c r="B68" s="129" t="s">
        <v>135</v>
      </c>
      <c r="C68" s="128" t="s">
        <v>163</v>
      </c>
      <c r="F68" s="48"/>
      <c r="G68" s="48"/>
      <c r="H68" s="48"/>
      <c r="K68" s="48"/>
      <c r="L68" s="48"/>
      <c r="M68" s="48"/>
      <c r="O68" s="48"/>
      <c r="P68" s="48"/>
      <c r="Q68" s="48"/>
    </row>
    <row r="69" spans="1:19" s="38" customFormat="1" ht="15" customHeight="1" outlineLevel="1" x14ac:dyDescent="0.25">
      <c r="A69" s="151"/>
      <c r="B69" s="129" t="s">
        <v>145</v>
      </c>
      <c r="C69" s="128" t="s">
        <v>164</v>
      </c>
      <c r="F69" s="48"/>
      <c r="G69" s="48"/>
      <c r="H69" s="48"/>
      <c r="K69" s="48"/>
      <c r="L69" s="48"/>
      <c r="M69" s="48"/>
      <c r="O69" s="48"/>
      <c r="P69" s="48"/>
      <c r="Q69" s="48"/>
    </row>
    <row r="70" spans="1:19" s="38" customFormat="1" ht="15" customHeight="1" outlineLevel="1" x14ac:dyDescent="0.25">
      <c r="A70" s="151"/>
      <c r="B70" s="129" t="s">
        <v>146</v>
      </c>
      <c r="C70" s="128" t="s">
        <v>165</v>
      </c>
      <c r="F70" s="48"/>
      <c r="G70" s="48"/>
      <c r="H70" s="48"/>
      <c r="K70" s="48"/>
      <c r="L70" s="48"/>
      <c r="M70" s="48"/>
      <c r="O70" s="48"/>
      <c r="P70" s="48"/>
      <c r="Q70" s="48"/>
    </row>
    <row r="71" spans="1:19" s="38" customFormat="1" ht="15" customHeight="1" outlineLevel="1" x14ac:dyDescent="0.25">
      <c r="A71" s="151"/>
      <c r="B71" s="129" t="s">
        <v>147</v>
      </c>
      <c r="C71" s="128" t="s">
        <v>166</v>
      </c>
      <c r="F71" s="48"/>
      <c r="G71" s="48"/>
      <c r="H71" s="48"/>
      <c r="K71" s="48"/>
      <c r="L71" s="48"/>
      <c r="M71" s="48"/>
      <c r="O71" s="48"/>
      <c r="P71" s="48"/>
      <c r="Q71" s="48"/>
    </row>
    <row r="72" spans="1:19" s="38" customFormat="1" ht="15" customHeight="1" outlineLevel="1" x14ac:dyDescent="0.25">
      <c r="A72" s="151"/>
      <c r="B72" s="129" t="s">
        <v>148</v>
      </c>
      <c r="C72" s="128" t="s">
        <v>167</v>
      </c>
      <c r="F72" s="48"/>
      <c r="G72" s="48"/>
      <c r="H72" s="48"/>
      <c r="K72" s="48"/>
      <c r="L72" s="48"/>
      <c r="M72" s="48"/>
      <c r="O72" s="48"/>
      <c r="P72" s="48"/>
      <c r="Q72" s="48"/>
    </row>
    <row r="73" spans="1:19" s="38" customFormat="1" ht="15" customHeight="1" outlineLevel="1" x14ac:dyDescent="0.25">
      <c r="A73" s="151"/>
      <c r="B73" s="129" t="s">
        <v>149</v>
      </c>
      <c r="C73" s="128" t="s">
        <v>168</v>
      </c>
      <c r="F73" s="48"/>
      <c r="G73" s="48"/>
      <c r="H73" s="48"/>
      <c r="K73" s="48"/>
      <c r="L73" s="48"/>
      <c r="M73" s="48"/>
      <c r="O73" s="48"/>
      <c r="P73" s="48"/>
      <c r="Q73" s="48"/>
    </row>
    <row r="74" spans="1:19" ht="13.15" customHeight="1" outlineLevel="1" x14ac:dyDescent="0.25">
      <c r="D74" s="37"/>
      <c r="O74" s="37"/>
      <c r="P74" s="37"/>
      <c r="Q74" s="37"/>
    </row>
    <row r="75" spans="1:19" s="142" customFormat="1" ht="15" customHeight="1" x14ac:dyDescent="0.25">
      <c r="A75" s="151">
        <v>3.3</v>
      </c>
      <c r="B75" s="154" t="s">
        <v>19</v>
      </c>
      <c r="C75" s="155"/>
      <c r="D75" s="155"/>
      <c r="E75" s="155"/>
      <c r="F75" s="155"/>
      <c r="G75" s="155"/>
      <c r="H75" s="155"/>
      <c r="I75" s="155"/>
      <c r="J75" s="155"/>
      <c r="K75" s="155"/>
      <c r="L75" s="155"/>
      <c r="M75" s="155"/>
      <c r="N75" s="155"/>
      <c r="O75" s="155"/>
      <c r="P75" s="155"/>
      <c r="Q75" s="155"/>
      <c r="R75" s="155"/>
      <c r="S75" s="156"/>
    </row>
    <row r="76" spans="1:19" ht="13.15" customHeight="1" outlineLevel="1" x14ac:dyDescent="0.25">
      <c r="D76" s="37"/>
      <c r="O76" s="37"/>
      <c r="P76" s="37"/>
      <c r="Q76" s="37"/>
    </row>
    <row r="77" spans="1:19" ht="15" customHeight="1" outlineLevel="1" x14ac:dyDescent="0.25">
      <c r="B77" s="129" t="s">
        <v>150</v>
      </c>
      <c r="C77" s="129" t="s">
        <v>151</v>
      </c>
      <c r="D77" s="129" t="s">
        <v>152</v>
      </c>
      <c r="E77" s="129" t="s">
        <v>169</v>
      </c>
      <c r="F77" s="129" t="s">
        <v>153</v>
      </c>
      <c r="G77" s="129" t="s">
        <v>154</v>
      </c>
      <c r="K77" s="37"/>
      <c r="L77" s="37"/>
      <c r="M77" s="37"/>
      <c r="O77" s="37"/>
      <c r="P77" s="37"/>
      <c r="Q77" s="37"/>
    </row>
    <row r="78" spans="1:19" ht="148.5" customHeight="1" outlineLevel="1" x14ac:dyDescent="0.25">
      <c r="B78" s="126" t="s">
        <v>19</v>
      </c>
      <c r="C78" s="139" t="s">
        <v>7</v>
      </c>
      <c r="D78" s="140" t="s">
        <v>21</v>
      </c>
      <c r="E78" s="140" t="s">
        <v>22</v>
      </c>
      <c r="F78" s="140" t="s">
        <v>23</v>
      </c>
      <c r="G78" s="140" t="s">
        <v>24</v>
      </c>
      <c r="K78" s="37"/>
      <c r="L78" s="37"/>
      <c r="M78" s="37"/>
      <c r="O78" s="37"/>
      <c r="P78" s="37"/>
      <c r="Q78" s="37"/>
    </row>
    <row r="79" spans="1:19" s="38" customFormat="1" ht="15" customHeight="1" outlineLevel="1" x14ac:dyDescent="0.25">
      <c r="A79" s="151"/>
      <c r="B79" s="129" t="s">
        <v>151</v>
      </c>
      <c r="C79" s="128" t="s">
        <v>162</v>
      </c>
      <c r="F79" s="48"/>
      <c r="G79" s="48"/>
      <c r="H79" s="48"/>
      <c r="K79" s="48"/>
      <c r="L79" s="48"/>
      <c r="M79" s="48"/>
      <c r="O79" s="48"/>
      <c r="P79" s="48"/>
      <c r="Q79" s="48"/>
    </row>
    <row r="80" spans="1:19" s="38" customFormat="1" ht="15" customHeight="1" outlineLevel="1" x14ac:dyDescent="0.25">
      <c r="A80" s="151"/>
      <c r="B80" s="130" t="s">
        <v>152</v>
      </c>
      <c r="C80" s="128" t="s">
        <v>170</v>
      </c>
      <c r="F80" s="48"/>
      <c r="G80" s="48"/>
      <c r="H80" s="48"/>
      <c r="K80" s="48"/>
      <c r="L80" s="48"/>
      <c r="M80" s="48"/>
      <c r="O80" s="48"/>
      <c r="P80" s="48"/>
      <c r="Q80" s="48"/>
    </row>
    <row r="81" spans="1:19" s="38" customFormat="1" ht="15" customHeight="1" outlineLevel="1" x14ac:dyDescent="0.25">
      <c r="A81" s="151"/>
      <c r="B81" s="131"/>
      <c r="C81" s="128" t="s">
        <v>171</v>
      </c>
      <c r="F81" s="48"/>
      <c r="G81" s="48"/>
      <c r="H81" s="48"/>
      <c r="K81" s="48"/>
      <c r="L81" s="48"/>
      <c r="M81" s="48"/>
      <c r="O81" s="48"/>
      <c r="P81" s="48"/>
      <c r="Q81" s="48"/>
    </row>
    <row r="82" spans="1:19" s="38" customFormat="1" ht="15" customHeight="1" outlineLevel="1" x14ac:dyDescent="0.25">
      <c r="A82" s="151"/>
      <c r="B82" s="132"/>
      <c r="C82" s="128" t="s">
        <v>172</v>
      </c>
      <c r="F82" s="48"/>
      <c r="G82" s="48"/>
      <c r="H82" s="48"/>
      <c r="K82" s="48"/>
      <c r="L82" s="48"/>
      <c r="M82" s="48"/>
      <c r="O82" s="48"/>
      <c r="P82" s="48"/>
      <c r="Q82" s="48"/>
    </row>
    <row r="83" spans="1:19" s="38" customFormat="1" ht="15" customHeight="1" outlineLevel="1" x14ac:dyDescent="0.25">
      <c r="A83" s="151"/>
      <c r="B83" s="129" t="s">
        <v>169</v>
      </c>
      <c r="C83" s="128" t="s">
        <v>173</v>
      </c>
      <c r="F83" s="48"/>
      <c r="G83" s="48"/>
      <c r="H83" s="48"/>
      <c r="K83" s="48"/>
      <c r="L83" s="48"/>
      <c r="M83" s="48"/>
      <c r="O83" s="48"/>
      <c r="P83" s="48"/>
      <c r="Q83" s="48"/>
    </row>
    <row r="84" spans="1:19" s="38" customFormat="1" ht="15" customHeight="1" outlineLevel="1" x14ac:dyDescent="0.25">
      <c r="A84" s="151"/>
      <c r="B84" s="129" t="s">
        <v>153</v>
      </c>
      <c r="C84" s="128" t="s">
        <v>174</v>
      </c>
      <c r="F84" s="48"/>
      <c r="G84" s="48"/>
      <c r="H84" s="48"/>
      <c r="K84" s="48"/>
      <c r="L84" s="48"/>
      <c r="M84" s="48"/>
      <c r="O84" s="48"/>
      <c r="P84" s="48"/>
      <c r="Q84" s="48"/>
    </row>
    <row r="85" spans="1:19" s="38" customFormat="1" ht="15" customHeight="1" outlineLevel="1" x14ac:dyDescent="0.25">
      <c r="A85" s="151"/>
      <c r="B85" s="129" t="s">
        <v>154</v>
      </c>
      <c r="C85" s="128" t="s">
        <v>175</v>
      </c>
      <c r="F85" s="48"/>
      <c r="G85" s="48"/>
      <c r="H85" s="48"/>
      <c r="K85" s="48"/>
      <c r="L85" s="48"/>
      <c r="M85" s="48"/>
      <c r="O85" s="48"/>
      <c r="P85" s="48"/>
      <c r="Q85" s="48"/>
    </row>
    <row r="86" spans="1:19" ht="13.15" customHeight="1" outlineLevel="1" x14ac:dyDescent="0.25">
      <c r="D86" s="37"/>
    </row>
    <row r="87" spans="1:19" ht="13.15" customHeight="1" outlineLevel="1" x14ac:dyDescent="0.25">
      <c r="D87" s="37"/>
    </row>
    <row r="88" spans="1:19" s="84" customFormat="1" ht="20.100000000000001" customHeight="1" x14ac:dyDescent="0.25">
      <c r="A88" s="163">
        <v>4</v>
      </c>
      <c r="B88" s="157" t="s">
        <v>29</v>
      </c>
      <c r="C88" s="158"/>
      <c r="D88" s="158"/>
      <c r="E88" s="158"/>
      <c r="F88" s="158"/>
      <c r="G88" s="158"/>
      <c r="H88" s="158"/>
      <c r="I88" s="158"/>
      <c r="J88" s="158"/>
      <c r="K88" s="158"/>
      <c r="L88" s="158"/>
      <c r="M88" s="158"/>
      <c r="N88" s="158"/>
      <c r="O88" s="158"/>
      <c r="P88" s="158"/>
      <c r="Q88" s="158"/>
      <c r="R88" s="158"/>
      <c r="S88" s="159"/>
    </row>
    <row r="89" spans="1:19" ht="13.15" customHeight="1" outlineLevel="1" x14ac:dyDescent="0.25">
      <c r="D89" s="37"/>
      <c r="J89" s="33"/>
      <c r="K89" s="43"/>
    </row>
    <row r="90" spans="1:19" ht="15" customHeight="1" outlineLevel="1" x14ac:dyDescent="0.25">
      <c r="B90" s="129" t="s">
        <v>125</v>
      </c>
      <c r="C90" s="129" t="s">
        <v>120</v>
      </c>
      <c r="D90" s="129" t="s">
        <v>121</v>
      </c>
      <c r="E90" s="129" t="s">
        <v>122</v>
      </c>
      <c r="F90" s="129" t="s">
        <v>123</v>
      </c>
      <c r="G90" s="129" t="s">
        <v>134</v>
      </c>
      <c r="H90" s="129" t="s">
        <v>135</v>
      </c>
      <c r="I90" s="129" t="s">
        <v>145</v>
      </c>
      <c r="J90" s="33"/>
      <c r="K90" s="43"/>
    </row>
    <row r="91" spans="1:19" ht="13.15" customHeight="1" outlineLevel="1" x14ac:dyDescent="0.25">
      <c r="C91" s="120" t="s">
        <v>176</v>
      </c>
      <c r="D91" s="121"/>
      <c r="E91" s="121"/>
      <c r="F91" s="122"/>
      <c r="G91" s="120" t="s">
        <v>177</v>
      </c>
      <c r="H91" s="121"/>
      <c r="I91" s="122"/>
      <c r="J91" s="33"/>
      <c r="K91" s="43"/>
    </row>
    <row r="92" spans="1:19" ht="83.25" customHeight="1" outlineLevel="1" x14ac:dyDescent="0.25">
      <c r="B92" s="123" t="s">
        <v>29</v>
      </c>
      <c r="C92" s="140" t="s">
        <v>178</v>
      </c>
      <c r="D92" s="140" t="s">
        <v>179</v>
      </c>
      <c r="E92" s="140" t="s">
        <v>180</v>
      </c>
      <c r="F92" s="140" t="s">
        <v>181</v>
      </c>
      <c r="G92" s="140" t="s">
        <v>182</v>
      </c>
      <c r="H92" s="140" t="s">
        <v>183</v>
      </c>
      <c r="I92" s="140" t="s">
        <v>179</v>
      </c>
      <c r="J92" s="33"/>
      <c r="K92" s="43"/>
    </row>
    <row r="93" spans="1:19" s="38" customFormat="1" ht="15" customHeight="1" outlineLevel="1" x14ac:dyDescent="0.25">
      <c r="A93" s="151"/>
      <c r="B93" s="129" t="s">
        <v>120</v>
      </c>
      <c r="C93" s="128" t="s">
        <v>184</v>
      </c>
      <c r="F93" s="48"/>
      <c r="G93" s="48"/>
      <c r="H93" s="48"/>
      <c r="K93" s="48"/>
      <c r="L93" s="48"/>
      <c r="M93" s="48"/>
      <c r="O93" s="48"/>
      <c r="P93" s="48"/>
      <c r="Q93" s="48"/>
    </row>
    <row r="94" spans="1:19" s="38" customFormat="1" ht="15" customHeight="1" outlineLevel="1" x14ac:dyDescent="0.25">
      <c r="A94" s="151"/>
      <c r="B94" s="129" t="s">
        <v>121</v>
      </c>
      <c r="C94" s="128" t="s">
        <v>185</v>
      </c>
      <c r="F94" s="48"/>
      <c r="G94" s="48"/>
      <c r="H94" s="48"/>
      <c r="K94" s="48"/>
      <c r="L94" s="48"/>
      <c r="M94" s="48"/>
      <c r="O94" s="48"/>
      <c r="P94" s="48"/>
      <c r="Q94" s="48"/>
    </row>
    <row r="95" spans="1:19" s="38" customFormat="1" ht="15" customHeight="1" outlineLevel="1" x14ac:dyDescent="0.25">
      <c r="A95" s="151"/>
      <c r="B95" s="129" t="s">
        <v>122</v>
      </c>
      <c r="C95" s="128" t="s">
        <v>186</v>
      </c>
      <c r="F95" s="48"/>
      <c r="G95" s="48"/>
      <c r="H95" s="48"/>
      <c r="K95" s="48"/>
      <c r="L95" s="48"/>
      <c r="M95" s="48"/>
      <c r="O95" s="48"/>
      <c r="P95" s="48"/>
      <c r="Q95" s="48"/>
    </row>
    <row r="96" spans="1:19" s="38" customFormat="1" ht="15" customHeight="1" outlineLevel="1" x14ac:dyDescent="0.25">
      <c r="A96" s="151"/>
      <c r="B96" s="129" t="s">
        <v>123</v>
      </c>
      <c r="C96" s="128" t="s">
        <v>187</v>
      </c>
      <c r="F96" s="48"/>
      <c r="G96" s="48"/>
      <c r="H96" s="48"/>
      <c r="K96" s="48"/>
      <c r="L96" s="48"/>
      <c r="M96" s="48"/>
      <c r="O96" s="48"/>
      <c r="P96" s="48"/>
      <c r="Q96" s="48"/>
    </row>
    <row r="97" spans="1:19" s="38" customFormat="1" ht="15" customHeight="1" outlineLevel="1" x14ac:dyDescent="0.25">
      <c r="A97" s="151"/>
      <c r="B97" s="129" t="s">
        <v>134</v>
      </c>
      <c r="C97" s="128" t="s">
        <v>188</v>
      </c>
      <c r="F97" s="48"/>
      <c r="G97" s="48"/>
      <c r="H97" s="48"/>
      <c r="K97" s="48"/>
      <c r="L97" s="48"/>
      <c r="M97" s="48"/>
      <c r="O97" s="48"/>
      <c r="P97" s="48"/>
      <c r="Q97" s="48"/>
    </row>
    <row r="98" spans="1:19" s="38" customFormat="1" ht="15" customHeight="1" outlineLevel="1" x14ac:dyDescent="0.25">
      <c r="A98" s="151"/>
      <c r="B98" s="129" t="s">
        <v>135</v>
      </c>
      <c r="C98" s="128" t="s">
        <v>189</v>
      </c>
      <c r="F98" s="48"/>
      <c r="G98" s="48"/>
      <c r="H98" s="48"/>
      <c r="K98" s="48"/>
      <c r="L98" s="48"/>
      <c r="M98" s="48"/>
      <c r="O98" s="48"/>
      <c r="P98" s="48"/>
      <c r="Q98" s="48"/>
    </row>
    <row r="99" spans="1:19" s="38" customFormat="1" ht="15" customHeight="1" outlineLevel="1" x14ac:dyDescent="0.25">
      <c r="A99" s="151"/>
      <c r="B99" s="129" t="s">
        <v>145</v>
      </c>
      <c r="C99" s="128" t="s">
        <v>190</v>
      </c>
      <c r="F99" s="48"/>
      <c r="G99" s="48"/>
      <c r="H99" s="48"/>
      <c r="K99" s="48"/>
      <c r="L99" s="48"/>
      <c r="M99" s="48"/>
      <c r="O99" s="48"/>
      <c r="P99" s="48"/>
      <c r="Q99" s="48"/>
    </row>
    <row r="100" spans="1:19" ht="13.15" customHeight="1" outlineLevel="1" x14ac:dyDescent="0.25">
      <c r="D100" s="37"/>
    </row>
    <row r="101" spans="1:19" s="84" customFormat="1" ht="20.100000000000001" customHeight="1" x14ac:dyDescent="0.25">
      <c r="A101" s="163">
        <v>5</v>
      </c>
      <c r="B101" s="157" t="s">
        <v>117</v>
      </c>
      <c r="C101" s="158"/>
      <c r="D101" s="158"/>
      <c r="E101" s="158"/>
      <c r="F101" s="158"/>
      <c r="G101" s="158"/>
      <c r="H101" s="158"/>
      <c r="I101" s="158"/>
      <c r="J101" s="158"/>
      <c r="K101" s="158"/>
      <c r="L101" s="158"/>
      <c r="M101" s="158"/>
      <c r="N101" s="158"/>
      <c r="O101" s="158"/>
      <c r="P101" s="158"/>
      <c r="Q101" s="158"/>
      <c r="R101" s="158"/>
      <c r="S101" s="159"/>
    </row>
    <row r="102" spans="1:19" ht="13.15" customHeight="1" outlineLevel="1" x14ac:dyDescent="0.25">
      <c r="D102" s="37"/>
    </row>
    <row r="103" spans="1:19" s="38" customFormat="1" ht="20.100000000000001" customHeight="1" outlineLevel="1" x14ac:dyDescent="0.25">
      <c r="A103" s="151"/>
      <c r="B103" s="100"/>
      <c r="C103" s="97" t="s">
        <v>117</v>
      </c>
      <c r="D103" s="97"/>
      <c r="E103" s="97"/>
      <c r="F103" s="98"/>
      <c r="G103" s="98"/>
      <c r="H103" s="98"/>
      <c r="I103" s="99"/>
      <c r="J103" s="99"/>
      <c r="K103" s="99"/>
      <c r="L103" s="100"/>
      <c r="M103" s="97" t="s">
        <v>191</v>
      </c>
      <c r="N103" s="97"/>
      <c r="O103" s="97"/>
      <c r="P103" s="97"/>
      <c r="Q103" s="100"/>
      <c r="R103" s="124" t="s">
        <v>192</v>
      </c>
    </row>
    <row r="104" spans="1:19" s="138" customFormat="1" ht="15" customHeight="1" outlineLevel="1" x14ac:dyDescent="0.25">
      <c r="A104" s="146"/>
      <c r="B104" s="129" t="s">
        <v>125</v>
      </c>
      <c r="C104" s="129" t="s">
        <v>120</v>
      </c>
      <c r="D104" s="129" t="s">
        <v>121</v>
      </c>
      <c r="E104" s="129" t="s">
        <v>122</v>
      </c>
      <c r="F104" s="129" t="s">
        <v>123</v>
      </c>
      <c r="G104" s="129" t="s">
        <v>134</v>
      </c>
      <c r="H104" s="129" t="s">
        <v>135</v>
      </c>
      <c r="I104" s="129" t="s">
        <v>145</v>
      </c>
      <c r="J104" s="129" t="s">
        <v>146</v>
      </c>
      <c r="K104" s="129" t="s">
        <v>147</v>
      </c>
      <c r="L104" s="129" t="s">
        <v>148</v>
      </c>
      <c r="M104" s="129" t="s">
        <v>149</v>
      </c>
      <c r="N104" s="129" t="s">
        <v>150</v>
      </c>
      <c r="O104" s="129" t="s">
        <v>151</v>
      </c>
      <c r="P104" s="129" t="s">
        <v>152</v>
      </c>
      <c r="Q104" s="129" t="s">
        <v>169</v>
      </c>
      <c r="R104" s="129" t="s">
        <v>153</v>
      </c>
    </row>
    <row r="105" spans="1:19" s="141" customFormat="1" ht="185.25" customHeight="1" outlineLevel="1" x14ac:dyDescent="0.25">
      <c r="A105" s="151"/>
      <c r="B105" s="123" t="s">
        <v>117</v>
      </c>
      <c r="C105" s="140" t="s">
        <v>7</v>
      </c>
      <c r="D105" s="140" t="s">
        <v>193</v>
      </c>
      <c r="E105" s="140" t="s">
        <v>194</v>
      </c>
      <c r="F105" s="140" t="s">
        <v>195</v>
      </c>
      <c r="G105" s="140" t="s">
        <v>157</v>
      </c>
      <c r="H105" s="140" t="s">
        <v>16</v>
      </c>
      <c r="I105" s="140" t="s">
        <v>196</v>
      </c>
      <c r="J105" s="140" t="s">
        <v>197</v>
      </c>
      <c r="K105" s="140" t="s">
        <v>198</v>
      </c>
      <c r="L105" s="123" t="s">
        <v>19</v>
      </c>
      <c r="M105" s="140" t="s">
        <v>7</v>
      </c>
      <c r="N105" s="140" t="s">
        <v>199</v>
      </c>
      <c r="O105" s="140" t="s">
        <v>200</v>
      </c>
      <c r="P105" s="140" t="s">
        <v>201</v>
      </c>
      <c r="Q105" s="123" t="s">
        <v>202</v>
      </c>
      <c r="R105" s="140" t="s">
        <v>203</v>
      </c>
    </row>
    <row r="106" spans="1:19" s="38" customFormat="1" ht="15" customHeight="1" outlineLevel="1" x14ac:dyDescent="0.25">
      <c r="A106" s="48"/>
      <c r="B106" s="48"/>
      <c r="C106" s="48"/>
      <c r="D106" s="48"/>
      <c r="E106" s="48"/>
      <c r="F106" s="48"/>
      <c r="G106" s="48"/>
      <c r="H106" s="48"/>
      <c r="K106" s="48"/>
      <c r="L106" s="48"/>
      <c r="M106" s="48"/>
      <c r="O106" s="48"/>
      <c r="P106" s="48"/>
      <c r="Q106" s="48"/>
    </row>
    <row r="107" spans="1:19" s="142" customFormat="1" ht="15" customHeight="1" x14ac:dyDescent="0.25">
      <c r="A107" s="151">
        <v>5.0999999999999996</v>
      </c>
      <c r="B107" s="166" t="s">
        <v>117</v>
      </c>
      <c r="C107" s="167"/>
      <c r="D107" s="167"/>
      <c r="E107" s="167"/>
      <c r="F107" s="167"/>
      <c r="G107" s="167"/>
      <c r="H107" s="167"/>
      <c r="I107" s="167"/>
      <c r="J107" s="167"/>
      <c r="K107" s="167"/>
      <c r="L107" s="167"/>
      <c r="M107" s="167"/>
      <c r="N107" s="167"/>
      <c r="O107" s="167"/>
      <c r="P107" s="167"/>
      <c r="Q107" s="167"/>
      <c r="R107" s="167"/>
      <c r="S107" s="168"/>
    </row>
    <row r="108" spans="1:19" s="38" customFormat="1" ht="15" customHeight="1" outlineLevel="1" x14ac:dyDescent="0.25">
      <c r="A108" s="48"/>
      <c r="B108" s="48"/>
      <c r="C108" s="48"/>
      <c r="D108" s="48"/>
      <c r="E108" s="48"/>
      <c r="F108" s="48"/>
      <c r="G108" s="48"/>
      <c r="H108" s="48"/>
      <c r="K108" s="48"/>
      <c r="L108" s="48"/>
      <c r="M108" s="48"/>
      <c r="O108" s="48"/>
      <c r="P108" s="48"/>
      <c r="Q108" s="48"/>
    </row>
    <row r="109" spans="1:19" s="138" customFormat="1" ht="15" customHeight="1" outlineLevel="1" x14ac:dyDescent="0.25">
      <c r="A109" s="146"/>
      <c r="B109" s="129" t="s">
        <v>125</v>
      </c>
      <c r="C109" s="129" t="s">
        <v>120</v>
      </c>
      <c r="D109" s="129" t="s">
        <v>121</v>
      </c>
      <c r="E109" s="129" t="s">
        <v>122</v>
      </c>
      <c r="F109" s="129" t="s">
        <v>123</v>
      </c>
      <c r="G109" s="129" t="s">
        <v>134</v>
      </c>
      <c r="H109" s="129" t="s">
        <v>135</v>
      </c>
      <c r="I109" s="129" t="s">
        <v>145</v>
      </c>
      <c r="J109" s="129" t="s">
        <v>146</v>
      </c>
      <c r="K109" s="129" t="s">
        <v>147</v>
      </c>
      <c r="L109" s="48"/>
      <c r="M109" s="48"/>
      <c r="N109" s="38"/>
      <c r="O109" s="48"/>
      <c r="P109" s="48"/>
      <c r="Q109" s="48"/>
      <c r="R109" s="38"/>
      <c r="S109" s="38"/>
    </row>
    <row r="110" spans="1:19" s="141" customFormat="1" ht="112.5" customHeight="1" outlineLevel="1" x14ac:dyDescent="0.25">
      <c r="A110" s="151"/>
      <c r="B110" s="123" t="s">
        <v>194</v>
      </c>
      <c r="C110" s="140" t="s">
        <v>7</v>
      </c>
      <c r="D110" s="140" t="s">
        <v>193</v>
      </c>
      <c r="E110" s="140" t="s">
        <v>194</v>
      </c>
      <c r="F110" s="140" t="s">
        <v>195</v>
      </c>
      <c r="G110" s="140" t="s">
        <v>157</v>
      </c>
      <c r="H110" s="140" t="s">
        <v>16</v>
      </c>
      <c r="I110" s="140" t="s">
        <v>196</v>
      </c>
      <c r="J110" s="140" t="s">
        <v>197</v>
      </c>
      <c r="K110" s="140" t="s">
        <v>198</v>
      </c>
      <c r="L110" s="48"/>
      <c r="M110" s="48"/>
      <c r="N110" s="38"/>
      <c r="O110" s="48"/>
      <c r="P110" s="48"/>
      <c r="Q110" s="48"/>
      <c r="R110" s="38"/>
      <c r="S110" s="38"/>
    </row>
    <row r="111" spans="1:19" s="38" customFormat="1" ht="15" customHeight="1" outlineLevel="1" x14ac:dyDescent="0.25">
      <c r="A111" s="151"/>
      <c r="B111" s="132" t="s">
        <v>120</v>
      </c>
      <c r="C111" s="128" t="s">
        <v>162</v>
      </c>
      <c r="F111" s="48"/>
      <c r="G111" s="48"/>
      <c r="H111" s="48"/>
      <c r="K111" s="48"/>
      <c r="L111" s="48"/>
      <c r="M111" s="48"/>
      <c r="O111" s="48"/>
      <c r="P111" s="48"/>
      <c r="Q111" s="48"/>
    </row>
    <row r="112" spans="1:19" s="38" customFormat="1" ht="15" customHeight="1" outlineLevel="1" x14ac:dyDescent="0.25">
      <c r="A112" s="151"/>
      <c r="B112" s="129" t="s">
        <v>121</v>
      </c>
      <c r="C112" s="128" t="s">
        <v>163</v>
      </c>
      <c r="F112" s="48"/>
      <c r="G112" s="48"/>
      <c r="H112" s="48"/>
      <c r="K112" s="48"/>
      <c r="L112" s="48"/>
      <c r="M112" s="48"/>
      <c r="O112" s="48"/>
      <c r="P112" s="48"/>
      <c r="Q112" s="48"/>
    </row>
    <row r="113" spans="1:19" s="38" customFormat="1" ht="15" customHeight="1" outlineLevel="1" x14ac:dyDescent="0.25">
      <c r="A113" s="151"/>
      <c r="B113" s="129" t="s">
        <v>122</v>
      </c>
      <c r="C113" s="128" t="s">
        <v>204</v>
      </c>
      <c r="F113" s="48"/>
      <c r="G113" s="48"/>
      <c r="H113" s="48"/>
      <c r="K113" s="48"/>
      <c r="L113" s="48"/>
      <c r="M113" s="48"/>
      <c r="O113" s="48"/>
      <c r="P113" s="48"/>
      <c r="Q113" s="48"/>
    </row>
    <row r="114" spans="1:19" s="38" customFormat="1" ht="15" customHeight="1" outlineLevel="1" x14ac:dyDescent="0.25">
      <c r="A114" s="151"/>
      <c r="B114" s="129" t="s">
        <v>123</v>
      </c>
      <c r="C114" s="128" t="s">
        <v>205</v>
      </c>
      <c r="F114" s="48"/>
      <c r="G114" s="48"/>
      <c r="H114" s="48"/>
      <c r="K114" s="48"/>
      <c r="L114" s="48"/>
      <c r="M114" s="48"/>
      <c r="O114" s="48"/>
      <c r="P114" s="48"/>
      <c r="Q114" s="48"/>
    </row>
    <row r="115" spans="1:19" s="38" customFormat="1" ht="15" customHeight="1" outlineLevel="1" x14ac:dyDescent="0.25">
      <c r="A115" s="151"/>
      <c r="B115" s="129" t="s">
        <v>134</v>
      </c>
      <c r="C115" s="128" t="s">
        <v>206</v>
      </c>
      <c r="F115" s="48"/>
      <c r="G115" s="48"/>
      <c r="H115" s="48"/>
      <c r="K115" s="48"/>
      <c r="L115" s="48"/>
      <c r="M115" s="48"/>
      <c r="O115" s="48"/>
      <c r="P115" s="48"/>
      <c r="Q115" s="48"/>
    </row>
    <row r="116" spans="1:19" s="38" customFormat="1" ht="15" customHeight="1" outlineLevel="1" x14ac:dyDescent="0.25">
      <c r="A116" s="151"/>
      <c r="B116" s="129" t="s">
        <v>135</v>
      </c>
      <c r="C116" s="128" t="s">
        <v>207</v>
      </c>
      <c r="F116" s="48"/>
      <c r="G116" s="48"/>
      <c r="H116" s="48"/>
      <c r="K116" s="48"/>
      <c r="L116" s="48"/>
      <c r="M116" s="48"/>
      <c r="O116" s="48"/>
      <c r="P116" s="48"/>
      <c r="Q116" s="48"/>
    </row>
    <row r="117" spans="1:19" s="38" customFormat="1" ht="15" customHeight="1" outlineLevel="1" x14ac:dyDescent="0.25">
      <c r="A117" s="151"/>
      <c r="B117" s="129" t="s">
        <v>145</v>
      </c>
      <c r="C117" s="128" t="s">
        <v>208</v>
      </c>
      <c r="F117" s="48"/>
      <c r="G117" s="48"/>
      <c r="H117" s="48"/>
      <c r="K117" s="48"/>
      <c r="L117" s="48"/>
      <c r="M117" s="48"/>
      <c r="O117" s="48"/>
      <c r="P117" s="48"/>
      <c r="Q117" s="48"/>
    </row>
    <row r="118" spans="1:19" s="38" customFormat="1" ht="15" customHeight="1" outlineLevel="1" x14ac:dyDescent="0.25">
      <c r="A118" s="151"/>
      <c r="B118" s="129" t="s">
        <v>146</v>
      </c>
      <c r="C118" s="128" t="s">
        <v>209</v>
      </c>
      <c r="F118" s="48"/>
      <c r="G118" s="48"/>
      <c r="H118" s="48"/>
      <c r="K118" s="48"/>
      <c r="L118" s="48"/>
      <c r="M118" s="48"/>
      <c r="O118" s="48"/>
      <c r="P118" s="48"/>
      <c r="Q118" s="48"/>
    </row>
    <row r="119" spans="1:19" s="38" customFormat="1" ht="15" customHeight="1" outlineLevel="1" x14ac:dyDescent="0.25">
      <c r="A119" s="151"/>
      <c r="B119" s="129" t="s">
        <v>147</v>
      </c>
      <c r="C119" s="128" t="s">
        <v>210</v>
      </c>
      <c r="F119" s="48"/>
      <c r="G119" s="48"/>
      <c r="H119" s="48"/>
      <c r="K119" s="48"/>
      <c r="L119" s="48"/>
      <c r="M119" s="48"/>
      <c r="O119" s="48"/>
      <c r="P119" s="48"/>
      <c r="Q119" s="48"/>
    </row>
    <row r="120" spans="1:19" s="38" customFormat="1" ht="15" customHeight="1" outlineLevel="1" x14ac:dyDescent="0.25">
      <c r="A120" s="48"/>
      <c r="B120" s="48"/>
      <c r="C120" s="48"/>
      <c r="D120" s="48"/>
      <c r="E120" s="48"/>
      <c r="F120" s="48"/>
      <c r="G120" s="48"/>
      <c r="H120" s="48"/>
      <c r="K120" s="48"/>
      <c r="L120" s="48"/>
      <c r="M120" s="48"/>
      <c r="O120" s="48"/>
      <c r="P120" s="48"/>
      <c r="Q120" s="48"/>
    </row>
    <row r="121" spans="1:19" s="142" customFormat="1" ht="15" customHeight="1" x14ac:dyDescent="0.25">
      <c r="A121" s="151">
        <v>5.2</v>
      </c>
      <c r="B121" s="166" t="s">
        <v>19</v>
      </c>
      <c r="C121" s="167"/>
      <c r="D121" s="167"/>
      <c r="E121" s="167"/>
      <c r="F121" s="167"/>
      <c r="G121" s="167"/>
      <c r="H121" s="167"/>
      <c r="I121" s="167"/>
      <c r="J121" s="167"/>
      <c r="K121" s="167"/>
      <c r="L121" s="167"/>
      <c r="M121" s="167"/>
      <c r="N121" s="167"/>
      <c r="O121" s="167"/>
      <c r="P121" s="167"/>
      <c r="Q121" s="167"/>
      <c r="R121" s="167"/>
      <c r="S121" s="168"/>
    </row>
    <row r="122" spans="1:19" s="38" customFormat="1" ht="15" customHeight="1" outlineLevel="1" x14ac:dyDescent="0.25">
      <c r="A122" s="48"/>
      <c r="B122" s="48"/>
      <c r="C122" s="48"/>
      <c r="D122" s="48"/>
      <c r="E122" s="48"/>
      <c r="F122" s="48"/>
      <c r="G122" s="48"/>
      <c r="H122" s="48"/>
      <c r="K122" s="48"/>
      <c r="L122" s="48"/>
      <c r="M122" s="48"/>
      <c r="O122" s="48"/>
      <c r="P122" s="48"/>
      <c r="Q122" s="48"/>
    </row>
    <row r="123" spans="1:19" ht="15" customHeight="1" outlineLevel="1" x14ac:dyDescent="0.25">
      <c r="B123" s="129" t="s">
        <v>148</v>
      </c>
      <c r="C123" s="129" t="s">
        <v>149</v>
      </c>
      <c r="D123" s="129" t="s">
        <v>150</v>
      </c>
      <c r="E123" s="129" t="s">
        <v>151</v>
      </c>
      <c r="F123" s="129" t="s">
        <v>152</v>
      </c>
      <c r="G123" s="37"/>
      <c r="H123" s="37"/>
      <c r="K123" s="37"/>
      <c r="L123" s="37"/>
      <c r="M123" s="37"/>
      <c r="O123" s="37"/>
      <c r="P123" s="37"/>
      <c r="Q123" s="37"/>
    </row>
    <row r="124" spans="1:19" s="92" customFormat="1" ht="162.75" customHeight="1" outlineLevel="1" x14ac:dyDescent="0.25">
      <c r="A124" s="151"/>
      <c r="B124" s="123" t="s">
        <v>19</v>
      </c>
      <c r="C124" s="93" t="s">
        <v>7</v>
      </c>
      <c r="D124" s="93" t="s">
        <v>199</v>
      </c>
      <c r="E124" s="93" t="s">
        <v>200</v>
      </c>
      <c r="F124" s="93" t="s">
        <v>201</v>
      </c>
    </row>
    <row r="125" spans="1:19" s="38" customFormat="1" ht="15" customHeight="1" outlineLevel="1" x14ac:dyDescent="0.25">
      <c r="A125" s="151"/>
      <c r="B125" s="130" t="s">
        <v>149</v>
      </c>
      <c r="C125" s="128" t="s">
        <v>162</v>
      </c>
      <c r="F125" s="48"/>
      <c r="G125" s="48"/>
      <c r="H125" s="48"/>
      <c r="K125" s="48"/>
      <c r="L125" s="48"/>
      <c r="M125" s="48"/>
      <c r="O125" s="48"/>
      <c r="P125" s="48"/>
      <c r="Q125" s="48"/>
    </row>
    <row r="126" spans="1:19" s="38" customFormat="1" ht="15" customHeight="1" outlineLevel="1" x14ac:dyDescent="0.25">
      <c r="A126" s="151"/>
      <c r="B126" s="132"/>
      <c r="C126" s="128" t="s">
        <v>211</v>
      </c>
      <c r="F126" s="48"/>
      <c r="G126" s="48"/>
      <c r="H126" s="48"/>
      <c r="K126" s="48"/>
      <c r="L126" s="48"/>
      <c r="M126" s="48"/>
      <c r="O126" s="48"/>
      <c r="P126" s="48"/>
      <c r="Q126" s="48"/>
    </row>
    <row r="127" spans="1:19" s="38" customFormat="1" ht="15" customHeight="1" outlineLevel="1" x14ac:dyDescent="0.25">
      <c r="A127" s="151"/>
      <c r="B127" s="129" t="s">
        <v>150</v>
      </c>
      <c r="C127" s="128" t="s">
        <v>212</v>
      </c>
      <c r="F127" s="48"/>
      <c r="G127" s="48"/>
      <c r="H127" s="48"/>
      <c r="K127" s="48"/>
      <c r="L127" s="48"/>
      <c r="M127" s="48"/>
      <c r="O127" s="48"/>
      <c r="P127" s="48"/>
      <c r="Q127" s="48"/>
    </row>
    <row r="128" spans="1:19" s="38" customFormat="1" ht="15" customHeight="1" outlineLevel="1" x14ac:dyDescent="0.25">
      <c r="A128" s="151"/>
      <c r="B128" s="129" t="s">
        <v>151</v>
      </c>
      <c r="C128" s="128" t="s">
        <v>213</v>
      </c>
      <c r="F128" s="48"/>
      <c r="G128" s="48"/>
      <c r="H128" s="48"/>
      <c r="K128" s="48"/>
      <c r="L128" s="48"/>
      <c r="M128" s="48"/>
      <c r="O128" s="48"/>
      <c r="P128" s="48"/>
      <c r="Q128" s="48"/>
    </row>
    <row r="129" spans="1:19" s="38" customFormat="1" ht="15" customHeight="1" outlineLevel="1" x14ac:dyDescent="0.25">
      <c r="A129" s="151"/>
      <c r="B129" s="129" t="s">
        <v>152</v>
      </c>
      <c r="C129" s="128" t="s">
        <v>214</v>
      </c>
      <c r="F129" s="48"/>
      <c r="G129" s="48"/>
      <c r="H129" s="48"/>
      <c r="K129" s="48"/>
      <c r="L129" s="48"/>
      <c r="M129" s="48"/>
      <c r="O129" s="48"/>
      <c r="P129" s="48"/>
      <c r="Q129" s="48"/>
    </row>
    <row r="130" spans="1:19" s="38" customFormat="1" ht="15" customHeight="1" outlineLevel="1" x14ac:dyDescent="0.25">
      <c r="A130" s="151"/>
      <c r="F130" s="48"/>
      <c r="G130" s="48"/>
      <c r="H130" s="48"/>
      <c r="K130" s="48"/>
      <c r="L130" s="48"/>
      <c r="M130" s="48"/>
      <c r="O130" s="48"/>
      <c r="P130" s="48"/>
    </row>
    <row r="131" spans="1:19" s="142" customFormat="1" ht="15" customHeight="1" x14ac:dyDescent="0.25">
      <c r="A131" s="151">
        <v>5.3</v>
      </c>
      <c r="B131" s="166" t="s">
        <v>202</v>
      </c>
      <c r="C131" s="167"/>
      <c r="D131" s="167"/>
      <c r="E131" s="167"/>
      <c r="F131" s="167"/>
      <c r="G131" s="167"/>
      <c r="H131" s="167"/>
      <c r="I131" s="167"/>
      <c r="J131" s="167"/>
      <c r="K131" s="167"/>
      <c r="L131" s="167"/>
      <c r="M131" s="167"/>
      <c r="N131" s="167"/>
      <c r="O131" s="167"/>
      <c r="P131" s="167"/>
      <c r="Q131" s="167"/>
      <c r="R131" s="167"/>
      <c r="S131" s="168"/>
    </row>
    <row r="132" spans="1:19" s="38" customFormat="1" ht="15" customHeight="1" outlineLevel="1" x14ac:dyDescent="0.25">
      <c r="A132" s="48"/>
      <c r="B132" s="48"/>
      <c r="C132" s="48"/>
      <c r="D132" s="48"/>
      <c r="E132" s="48"/>
      <c r="F132" s="48"/>
      <c r="G132" s="48"/>
      <c r="H132" s="48"/>
      <c r="K132" s="48"/>
      <c r="L132" s="48"/>
      <c r="M132" s="48"/>
      <c r="O132" s="48"/>
      <c r="P132" s="48"/>
      <c r="Q132" s="48"/>
    </row>
    <row r="133" spans="1:19" ht="15" customHeight="1" outlineLevel="1" x14ac:dyDescent="0.25">
      <c r="B133" s="129" t="s">
        <v>169</v>
      </c>
      <c r="C133" s="129" t="s">
        <v>153</v>
      </c>
      <c r="D133" s="37"/>
      <c r="F133" s="37"/>
      <c r="G133" s="37"/>
      <c r="H133" s="37"/>
      <c r="K133" s="37"/>
      <c r="L133" s="37"/>
      <c r="M133" s="37"/>
      <c r="O133" s="37"/>
      <c r="P133" s="37"/>
      <c r="Q133" s="37"/>
    </row>
    <row r="134" spans="1:19" s="92" customFormat="1" ht="198.75" customHeight="1" outlineLevel="1" x14ac:dyDescent="0.25">
      <c r="A134" s="151"/>
      <c r="B134" s="123" t="s">
        <v>202</v>
      </c>
      <c r="C134" s="140" t="s">
        <v>203</v>
      </c>
    </row>
    <row r="135" spans="1:19" s="38" customFormat="1" ht="15" customHeight="1" outlineLevel="1" x14ac:dyDescent="0.25">
      <c r="A135" s="151"/>
      <c r="B135" s="129" t="s">
        <v>153</v>
      </c>
      <c r="C135" s="128" t="s">
        <v>215</v>
      </c>
      <c r="F135" s="48"/>
      <c r="G135" s="48"/>
      <c r="H135" s="48"/>
      <c r="K135" s="48"/>
      <c r="L135" s="48"/>
      <c r="M135" s="48"/>
      <c r="O135" s="48"/>
      <c r="P135" s="48"/>
      <c r="Q135" s="48"/>
    </row>
    <row r="136" spans="1:19" s="38" customFormat="1" ht="15" customHeight="1" outlineLevel="1" x14ac:dyDescent="0.25">
      <c r="A136" s="151"/>
      <c r="F136" s="48"/>
      <c r="G136" s="48"/>
      <c r="H136" s="48"/>
      <c r="K136" s="48"/>
      <c r="L136" s="48"/>
      <c r="M136" s="48"/>
      <c r="O136" s="48"/>
      <c r="P136" s="48"/>
      <c r="Q136" s="48"/>
    </row>
    <row r="137" spans="1:19" s="84" customFormat="1" ht="20.100000000000001" customHeight="1" x14ac:dyDescent="0.25">
      <c r="A137" s="163">
        <v>6</v>
      </c>
      <c r="B137" s="134" t="s">
        <v>216</v>
      </c>
      <c r="C137" s="134"/>
      <c r="D137" s="134"/>
      <c r="E137" s="134"/>
      <c r="F137" s="134"/>
      <c r="G137" s="134"/>
      <c r="H137" s="134"/>
      <c r="I137" s="134"/>
      <c r="J137" s="134"/>
      <c r="K137" s="134"/>
      <c r="L137" s="134"/>
      <c r="M137" s="134"/>
      <c r="N137" s="134"/>
      <c r="O137" s="134"/>
      <c r="P137" s="134"/>
      <c r="Q137" s="134"/>
      <c r="R137" s="134"/>
      <c r="S137" s="134"/>
    </row>
    <row r="138" spans="1:19" s="38" customFormat="1" ht="15" customHeight="1" outlineLevel="1" x14ac:dyDescent="0.25">
      <c r="A138" s="151"/>
      <c r="F138" s="48"/>
      <c r="G138" s="48"/>
      <c r="H138" s="48"/>
    </row>
    <row r="139" spans="1:19" s="50" customFormat="1" ht="13.9" customHeight="1" outlineLevel="1" x14ac:dyDescent="0.25">
      <c r="A139" s="164"/>
      <c r="C139" s="118" t="s">
        <v>216</v>
      </c>
      <c r="D139" s="119"/>
      <c r="E139" s="119"/>
      <c r="F139" s="119"/>
      <c r="G139" s="119"/>
      <c r="H139" s="119"/>
      <c r="I139" s="119"/>
    </row>
    <row r="140" spans="1:19" ht="15" customHeight="1" outlineLevel="1" x14ac:dyDescent="0.25">
      <c r="B140" s="129" t="s">
        <v>125</v>
      </c>
      <c r="C140" s="129" t="s">
        <v>120</v>
      </c>
      <c r="D140" s="129" t="s">
        <v>121</v>
      </c>
      <c r="E140" s="129" t="s">
        <v>122</v>
      </c>
      <c r="F140" s="129" t="s">
        <v>123</v>
      </c>
      <c r="G140" s="129" t="s">
        <v>134</v>
      </c>
      <c r="H140" s="129" t="s">
        <v>135</v>
      </c>
      <c r="I140" s="129" t="s">
        <v>145</v>
      </c>
      <c r="K140" s="37"/>
      <c r="L140" s="37"/>
      <c r="M140" s="37"/>
      <c r="O140" s="37"/>
      <c r="P140" s="37"/>
      <c r="Q140" s="37"/>
    </row>
    <row r="141" spans="1:19" s="92" customFormat="1" ht="120" customHeight="1" outlineLevel="1" x14ac:dyDescent="0.25">
      <c r="A141" s="141"/>
      <c r="B141" s="123" t="s">
        <v>216</v>
      </c>
      <c r="C141" s="140" t="s">
        <v>7</v>
      </c>
      <c r="D141" s="140" t="s">
        <v>217</v>
      </c>
      <c r="E141" s="140" t="s">
        <v>155</v>
      </c>
      <c r="F141" s="140" t="s">
        <v>218</v>
      </c>
      <c r="G141" s="140" t="s">
        <v>219</v>
      </c>
      <c r="H141" s="140" t="s">
        <v>220</v>
      </c>
      <c r="I141" s="140" t="s">
        <v>221</v>
      </c>
    </row>
    <row r="142" spans="1:19" s="38" customFormat="1" ht="15" customHeight="1" outlineLevel="1" x14ac:dyDescent="0.25">
      <c r="A142" s="141"/>
      <c r="B142" s="129" t="s">
        <v>120</v>
      </c>
      <c r="C142" s="128" t="s">
        <v>162</v>
      </c>
      <c r="F142" s="48"/>
      <c r="K142" s="48"/>
      <c r="L142" s="48"/>
      <c r="M142" s="48"/>
      <c r="O142" s="48"/>
      <c r="P142" s="48"/>
      <c r="Q142" s="48"/>
    </row>
    <row r="143" spans="1:19" s="38" customFormat="1" ht="15" customHeight="1" outlineLevel="1" x14ac:dyDescent="0.25">
      <c r="A143" s="141"/>
      <c r="B143" s="129" t="s">
        <v>121</v>
      </c>
      <c r="C143" s="128" t="s">
        <v>198</v>
      </c>
      <c r="F143" s="48"/>
      <c r="G143" s="44"/>
      <c r="H143" s="44"/>
      <c r="K143" s="48"/>
      <c r="L143" s="48"/>
      <c r="M143" s="48"/>
      <c r="O143" s="48"/>
      <c r="P143" s="48"/>
      <c r="Q143" s="48"/>
    </row>
    <row r="144" spans="1:19" s="38" customFormat="1" ht="15" customHeight="1" outlineLevel="1" x14ac:dyDescent="0.25">
      <c r="A144" s="141"/>
      <c r="B144" s="129" t="s">
        <v>122</v>
      </c>
      <c r="C144" s="128" t="s">
        <v>222</v>
      </c>
      <c r="F144" s="48"/>
      <c r="G144" s="44"/>
      <c r="H144" s="44"/>
      <c r="K144" s="48"/>
      <c r="L144" s="48"/>
      <c r="M144" s="48"/>
      <c r="O144" s="48"/>
      <c r="P144" s="48"/>
      <c r="Q144" s="48"/>
    </row>
    <row r="145" spans="1:19" s="38" customFormat="1" ht="15" customHeight="1" outlineLevel="1" x14ac:dyDescent="0.25">
      <c r="A145" s="141"/>
      <c r="B145" s="129" t="s">
        <v>123</v>
      </c>
      <c r="C145" s="128" t="s">
        <v>223</v>
      </c>
      <c r="F145" s="48"/>
      <c r="G145" s="44"/>
      <c r="H145" s="44"/>
      <c r="K145" s="48"/>
      <c r="L145" s="48"/>
      <c r="M145" s="48"/>
      <c r="O145" s="48"/>
      <c r="P145" s="48"/>
      <c r="Q145" s="48"/>
    </row>
    <row r="146" spans="1:19" s="38" customFormat="1" ht="15" customHeight="1" outlineLevel="1" x14ac:dyDescent="0.25">
      <c r="A146" s="141"/>
      <c r="B146" s="129" t="s">
        <v>134</v>
      </c>
      <c r="C146" s="128" t="s">
        <v>224</v>
      </c>
      <c r="F146" s="48"/>
      <c r="G146" s="44"/>
      <c r="H146" s="44"/>
      <c r="K146" s="48"/>
      <c r="L146" s="48"/>
      <c r="M146" s="48"/>
      <c r="O146" s="48"/>
      <c r="P146" s="48"/>
      <c r="Q146" s="48"/>
    </row>
    <row r="147" spans="1:19" s="38" customFormat="1" ht="15" customHeight="1" outlineLevel="1" x14ac:dyDescent="0.25">
      <c r="A147" s="141"/>
      <c r="B147" s="129" t="s">
        <v>135</v>
      </c>
      <c r="C147" s="128" t="s">
        <v>225</v>
      </c>
      <c r="F147" s="48"/>
      <c r="G147" s="44"/>
      <c r="H147" s="44"/>
      <c r="K147" s="48"/>
      <c r="L147" s="48"/>
      <c r="M147" s="48"/>
      <c r="O147" s="48"/>
      <c r="P147" s="48"/>
      <c r="Q147" s="48"/>
    </row>
    <row r="148" spans="1:19" s="38" customFormat="1" ht="15" customHeight="1" outlineLevel="1" x14ac:dyDescent="0.25">
      <c r="A148" s="141"/>
      <c r="B148" s="129" t="s">
        <v>145</v>
      </c>
      <c r="C148" s="128" t="s">
        <v>226</v>
      </c>
      <c r="F148" s="48"/>
      <c r="G148" s="44"/>
      <c r="H148" s="44"/>
      <c r="K148" s="48"/>
      <c r="L148" s="48"/>
      <c r="M148" s="48"/>
      <c r="O148" s="48"/>
      <c r="P148" s="48"/>
      <c r="Q148" s="48"/>
    </row>
    <row r="149" spans="1:19" s="38" customFormat="1" ht="15" customHeight="1" outlineLevel="1" x14ac:dyDescent="0.25">
      <c r="A149" s="141"/>
      <c r="F149" s="48"/>
      <c r="G149" s="44"/>
      <c r="H149" s="44"/>
      <c r="K149" s="48"/>
      <c r="L149" s="48"/>
      <c r="M149" s="48"/>
      <c r="O149" s="48"/>
      <c r="P149" s="48"/>
      <c r="Q149" s="48"/>
    </row>
    <row r="150" spans="1:19" s="84" customFormat="1" ht="20.100000000000001" customHeight="1" x14ac:dyDescent="0.25">
      <c r="A150" s="163">
        <v>7</v>
      </c>
      <c r="B150" s="172" t="s">
        <v>119</v>
      </c>
      <c r="C150" s="172"/>
      <c r="D150" s="172"/>
      <c r="E150" s="172"/>
      <c r="F150" s="172"/>
      <c r="G150" s="172"/>
      <c r="H150" s="172"/>
      <c r="I150" s="172"/>
      <c r="J150" s="172"/>
      <c r="K150" s="172"/>
      <c r="L150" s="172"/>
      <c r="M150" s="172"/>
      <c r="N150" s="172"/>
      <c r="O150" s="172"/>
      <c r="P150" s="172"/>
      <c r="Q150" s="172"/>
      <c r="R150" s="172"/>
      <c r="S150" s="172"/>
    </row>
    <row r="151" spans="1:19" s="38" customFormat="1" ht="15" customHeight="1" outlineLevel="1" x14ac:dyDescent="0.25">
      <c r="A151" s="151"/>
      <c r="F151" s="48"/>
      <c r="G151" s="48"/>
      <c r="H151" s="48"/>
      <c r="K151" s="48"/>
      <c r="L151" s="48"/>
      <c r="M151" s="48"/>
      <c r="O151" s="48"/>
      <c r="P151" s="48"/>
    </row>
    <row r="152" spans="1:19" ht="15" customHeight="1" outlineLevel="1" x14ac:dyDescent="0.25">
      <c r="B152" s="129" t="s">
        <v>125</v>
      </c>
      <c r="C152" s="129" t="s">
        <v>120</v>
      </c>
      <c r="D152" s="129" t="s">
        <v>121</v>
      </c>
      <c r="E152" s="129" t="s">
        <v>122</v>
      </c>
      <c r="F152" s="129" t="s">
        <v>123</v>
      </c>
      <c r="G152" s="129" t="s">
        <v>134</v>
      </c>
      <c r="H152" s="129" t="s">
        <v>135</v>
      </c>
      <c r="I152" s="129" t="s">
        <v>145</v>
      </c>
      <c r="J152" s="129" t="s">
        <v>146</v>
      </c>
      <c r="K152" s="129" t="s">
        <v>147</v>
      </c>
      <c r="L152" s="129" t="s">
        <v>148</v>
      </c>
      <c r="M152" s="37"/>
      <c r="O152" s="37"/>
      <c r="P152" s="37"/>
      <c r="Q152" s="37"/>
    </row>
    <row r="153" spans="1:19" s="30" customFormat="1" ht="15" customHeight="1" outlineLevel="1" x14ac:dyDescent="0.2">
      <c r="A153" s="165"/>
      <c r="B153" s="36"/>
      <c r="C153" s="120" t="s">
        <v>176</v>
      </c>
      <c r="D153" s="121"/>
      <c r="E153" s="121"/>
      <c r="F153" s="121"/>
      <c r="G153" s="122"/>
      <c r="H153" s="120" t="s">
        <v>227</v>
      </c>
      <c r="I153" s="122"/>
      <c r="J153" s="38"/>
    </row>
    <row r="154" spans="1:19" s="135" customFormat="1" ht="105.75" customHeight="1" outlineLevel="1" x14ac:dyDescent="0.25">
      <c r="A154" s="165"/>
      <c r="B154" s="173" t="s">
        <v>119</v>
      </c>
      <c r="C154" s="140" t="s">
        <v>183</v>
      </c>
      <c r="D154" s="140" t="s">
        <v>179</v>
      </c>
      <c r="E154" s="140" t="s">
        <v>228</v>
      </c>
      <c r="F154" s="140" t="s">
        <v>229</v>
      </c>
      <c r="G154" s="140" t="s">
        <v>182</v>
      </c>
      <c r="H154" s="140" t="s">
        <v>183</v>
      </c>
      <c r="I154" s="140" t="s">
        <v>179</v>
      </c>
      <c r="J154" s="136" t="s">
        <v>230</v>
      </c>
      <c r="K154" s="140" t="s">
        <v>183</v>
      </c>
      <c r="L154" s="140" t="s">
        <v>231</v>
      </c>
    </row>
    <row r="155" spans="1:19" s="38" customFormat="1" ht="15" customHeight="1" outlineLevel="1" x14ac:dyDescent="0.25">
      <c r="A155" s="151"/>
      <c r="F155" s="48"/>
      <c r="G155" s="48"/>
      <c r="H155" s="48"/>
      <c r="K155" s="48"/>
      <c r="L155" s="48"/>
      <c r="M155" s="48"/>
      <c r="O155" s="48"/>
      <c r="P155" s="48"/>
    </row>
    <row r="156" spans="1:19" s="142" customFormat="1" ht="15" customHeight="1" x14ac:dyDescent="0.25">
      <c r="A156" s="151" t="s">
        <v>232</v>
      </c>
      <c r="B156" s="169" t="s">
        <v>119</v>
      </c>
      <c r="C156" s="170"/>
      <c r="D156" s="170"/>
      <c r="E156" s="170"/>
      <c r="F156" s="170"/>
      <c r="G156" s="170"/>
      <c r="H156" s="170"/>
      <c r="I156" s="170"/>
      <c r="J156" s="170"/>
      <c r="K156" s="170"/>
      <c r="L156" s="170"/>
      <c r="M156" s="170"/>
      <c r="N156" s="170"/>
      <c r="O156" s="170"/>
      <c r="P156" s="170"/>
      <c r="Q156" s="170"/>
      <c r="R156" s="170"/>
      <c r="S156" s="171"/>
    </row>
    <row r="157" spans="1:19" s="38" customFormat="1" ht="15" customHeight="1" outlineLevel="1" x14ac:dyDescent="0.25">
      <c r="A157" s="48"/>
      <c r="B157" s="48"/>
      <c r="C157" s="48"/>
      <c r="D157" s="48"/>
      <c r="E157" s="48"/>
      <c r="F157" s="48"/>
      <c r="G157" s="48"/>
      <c r="H157" s="48"/>
      <c r="K157" s="48"/>
      <c r="L157" s="48"/>
      <c r="M157" s="48"/>
      <c r="O157" s="48"/>
      <c r="P157" s="48"/>
      <c r="Q157" s="48"/>
    </row>
    <row r="158" spans="1:19" ht="15" customHeight="1" outlineLevel="1" x14ac:dyDescent="0.25">
      <c r="B158" s="129" t="s">
        <v>125</v>
      </c>
      <c r="C158" s="129" t="s">
        <v>120</v>
      </c>
      <c r="D158" s="129" t="s">
        <v>121</v>
      </c>
      <c r="E158" s="129" t="s">
        <v>122</v>
      </c>
      <c r="F158" s="129" t="s">
        <v>123</v>
      </c>
      <c r="G158" s="129" t="s">
        <v>134</v>
      </c>
      <c r="H158" s="129" t="s">
        <v>135</v>
      </c>
      <c r="I158" s="129" t="s">
        <v>145</v>
      </c>
      <c r="J158" s="38"/>
      <c r="K158" s="48"/>
      <c r="L158" s="48"/>
      <c r="M158" s="37"/>
      <c r="N158" s="135"/>
      <c r="O158" s="135"/>
      <c r="P158" s="135"/>
      <c r="Q158" s="135"/>
      <c r="R158" s="135"/>
      <c r="S158" s="135"/>
    </row>
    <row r="159" spans="1:19" s="30" customFormat="1" ht="15" customHeight="1" outlineLevel="1" x14ac:dyDescent="0.2">
      <c r="A159" s="165"/>
      <c r="B159" s="36"/>
      <c r="C159" s="120" t="s">
        <v>176</v>
      </c>
      <c r="D159" s="121"/>
      <c r="E159" s="121"/>
      <c r="F159" s="121"/>
      <c r="G159" s="122"/>
      <c r="H159" s="120" t="s">
        <v>227</v>
      </c>
      <c r="I159" s="122"/>
      <c r="J159" s="38"/>
    </row>
    <row r="160" spans="1:19" s="135" customFormat="1" ht="105.75" customHeight="1" outlineLevel="1" x14ac:dyDescent="0.25">
      <c r="A160" s="165"/>
      <c r="B160" s="173" t="s">
        <v>119</v>
      </c>
      <c r="C160" s="140" t="s">
        <v>183</v>
      </c>
      <c r="D160" s="140" t="s">
        <v>179</v>
      </c>
      <c r="E160" s="140" t="s">
        <v>228</v>
      </c>
      <c r="F160" s="140" t="s">
        <v>229</v>
      </c>
      <c r="G160" s="140" t="s">
        <v>182</v>
      </c>
      <c r="H160" s="140" t="s">
        <v>183</v>
      </c>
      <c r="I160" s="140" t="s">
        <v>179</v>
      </c>
      <c r="J160" s="38"/>
      <c r="K160" s="48"/>
      <c r="L160" s="48"/>
    </row>
    <row r="161" spans="1:19" s="38" customFormat="1" ht="15" customHeight="1" outlineLevel="1" x14ac:dyDescent="0.25">
      <c r="A161" s="151"/>
      <c r="B161" s="132" t="s">
        <v>120</v>
      </c>
      <c r="C161" s="128" t="s">
        <v>233</v>
      </c>
      <c r="F161" s="48"/>
      <c r="G161" s="48"/>
      <c r="H161" s="48"/>
      <c r="K161" s="48"/>
      <c r="L161" s="48"/>
      <c r="M161" s="48"/>
      <c r="N161" s="135"/>
      <c r="O161" s="135"/>
      <c r="P161" s="135"/>
      <c r="Q161" s="135"/>
      <c r="R161" s="135"/>
      <c r="S161" s="135"/>
    </row>
    <row r="162" spans="1:19" s="38" customFormat="1" ht="14.25" customHeight="1" outlineLevel="1" x14ac:dyDescent="0.25">
      <c r="A162" s="151"/>
      <c r="B162" s="129" t="s">
        <v>121</v>
      </c>
      <c r="C162" s="128" t="s">
        <v>234</v>
      </c>
      <c r="F162" s="48"/>
      <c r="G162" s="48"/>
      <c r="H162" s="48"/>
      <c r="K162" s="48"/>
      <c r="L162" s="48"/>
      <c r="M162" s="48"/>
      <c r="N162" s="135"/>
      <c r="O162" s="135"/>
      <c r="P162" s="135"/>
      <c r="Q162" s="135"/>
      <c r="R162" s="135"/>
      <c r="S162" s="135"/>
    </row>
    <row r="163" spans="1:19" s="38" customFormat="1" ht="15" customHeight="1" outlineLevel="1" x14ac:dyDescent="0.25">
      <c r="A163" s="151"/>
      <c r="B163" s="129" t="s">
        <v>122</v>
      </c>
      <c r="C163" s="128" t="s">
        <v>235</v>
      </c>
      <c r="F163" s="48"/>
      <c r="G163" s="48"/>
      <c r="H163" s="48"/>
      <c r="K163" s="48"/>
      <c r="L163" s="48"/>
      <c r="M163" s="48"/>
      <c r="N163" s="135"/>
      <c r="O163" s="135"/>
      <c r="P163" s="135"/>
      <c r="Q163" s="135"/>
      <c r="R163" s="135"/>
      <c r="S163" s="135"/>
    </row>
    <row r="164" spans="1:19" s="38" customFormat="1" ht="15" customHeight="1" outlineLevel="1" x14ac:dyDescent="0.25">
      <c r="A164" s="151"/>
      <c r="B164" s="129" t="s">
        <v>123</v>
      </c>
      <c r="C164" s="128" t="s">
        <v>236</v>
      </c>
      <c r="F164" s="48"/>
      <c r="G164" s="48"/>
      <c r="H164" s="48"/>
      <c r="K164" s="48"/>
      <c r="L164" s="48"/>
      <c r="M164" s="48"/>
      <c r="N164" s="135"/>
      <c r="O164" s="135"/>
      <c r="P164" s="135"/>
      <c r="Q164" s="135"/>
      <c r="R164" s="135"/>
      <c r="S164" s="135"/>
    </row>
    <row r="165" spans="1:19" s="38" customFormat="1" ht="15" customHeight="1" outlineLevel="1" x14ac:dyDescent="0.25">
      <c r="A165" s="151"/>
      <c r="B165" s="129" t="s">
        <v>134</v>
      </c>
      <c r="C165" s="128" t="s">
        <v>237</v>
      </c>
      <c r="F165" s="48"/>
      <c r="G165" s="48"/>
      <c r="H165" s="48"/>
      <c r="K165" s="48"/>
      <c r="L165" s="48"/>
      <c r="M165" s="48"/>
      <c r="N165" s="135"/>
      <c r="O165" s="135"/>
      <c r="P165" s="135"/>
      <c r="Q165" s="135"/>
      <c r="R165" s="135"/>
      <c r="S165" s="135"/>
    </row>
    <row r="166" spans="1:19" s="38" customFormat="1" ht="15" customHeight="1" outlineLevel="1" x14ac:dyDescent="0.25">
      <c r="A166" s="151"/>
      <c r="B166" s="129" t="s">
        <v>135</v>
      </c>
      <c r="C166" s="128" t="s">
        <v>238</v>
      </c>
      <c r="F166" s="48"/>
      <c r="G166" s="48"/>
      <c r="H166" s="48"/>
      <c r="K166" s="48"/>
      <c r="L166" s="48"/>
      <c r="M166" s="48"/>
      <c r="N166" s="135"/>
      <c r="O166" s="135"/>
      <c r="P166" s="135"/>
      <c r="Q166" s="135"/>
      <c r="R166" s="135"/>
      <c r="S166" s="135"/>
    </row>
    <row r="167" spans="1:19" s="38" customFormat="1" ht="15" customHeight="1" outlineLevel="1" x14ac:dyDescent="0.25">
      <c r="A167" s="151"/>
      <c r="B167" s="129" t="s">
        <v>145</v>
      </c>
      <c r="C167" s="128" t="s">
        <v>239</v>
      </c>
      <c r="F167" s="48"/>
      <c r="G167" s="48"/>
      <c r="H167" s="48"/>
      <c r="K167" s="48"/>
      <c r="L167" s="48"/>
      <c r="M167" s="48"/>
      <c r="N167" s="135"/>
      <c r="O167" s="135"/>
      <c r="P167" s="135"/>
      <c r="Q167" s="135"/>
      <c r="R167" s="135"/>
      <c r="S167" s="135"/>
    </row>
    <row r="168" spans="1:19" ht="13.15" customHeight="1" outlineLevel="1" x14ac:dyDescent="0.25">
      <c r="D168" s="37"/>
      <c r="K168" s="48"/>
      <c r="L168" s="48"/>
      <c r="M168" s="48"/>
      <c r="N168" s="135"/>
      <c r="O168" s="135"/>
      <c r="P168" s="135"/>
      <c r="Q168" s="135"/>
      <c r="R168" s="135"/>
      <c r="S168" s="135"/>
    </row>
    <row r="169" spans="1:19" s="142" customFormat="1" ht="15" customHeight="1" x14ac:dyDescent="0.25">
      <c r="A169" s="151">
        <v>7.2</v>
      </c>
      <c r="B169" s="169" t="s">
        <v>240</v>
      </c>
      <c r="C169" s="170"/>
      <c r="D169" s="170"/>
      <c r="E169" s="170"/>
      <c r="F169" s="170"/>
      <c r="G169" s="170"/>
      <c r="H169" s="170"/>
      <c r="I169" s="170"/>
      <c r="J169" s="170"/>
      <c r="K169" s="170"/>
      <c r="L169" s="170"/>
      <c r="M169" s="170"/>
      <c r="N169" s="170"/>
      <c r="O169" s="170"/>
      <c r="P169" s="170"/>
      <c r="Q169" s="170"/>
      <c r="R169" s="170"/>
      <c r="S169" s="171"/>
    </row>
    <row r="170" spans="1:19" ht="13.15" customHeight="1" outlineLevel="1" x14ac:dyDescent="0.25">
      <c r="D170" s="37"/>
      <c r="K170" s="48"/>
      <c r="L170" s="48"/>
      <c r="M170" s="48"/>
      <c r="N170" s="135"/>
      <c r="O170" s="135"/>
      <c r="P170" s="135"/>
      <c r="Q170" s="135"/>
      <c r="R170" s="135"/>
      <c r="S170" s="135"/>
    </row>
    <row r="171" spans="1:19" ht="15" customHeight="1" outlineLevel="1" x14ac:dyDescent="0.25">
      <c r="B171" s="129" t="s">
        <v>146</v>
      </c>
      <c r="C171" s="129" t="s">
        <v>147</v>
      </c>
      <c r="D171" s="129" t="s">
        <v>148</v>
      </c>
      <c r="F171" s="37"/>
      <c r="G171" s="37"/>
      <c r="H171" s="37"/>
      <c r="K171" s="37"/>
      <c r="L171" s="37"/>
      <c r="M171" s="37"/>
      <c r="O171" s="37"/>
      <c r="P171" s="37"/>
      <c r="Q171" s="37"/>
    </row>
    <row r="172" spans="1:19" s="135" customFormat="1" ht="105.75" customHeight="1" outlineLevel="1" x14ac:dyDescent="0.25">
      <c r="A172" s="165"/>
      <c r="B172" s="173" t="s">
        <v>230</v>
      </c>
      <c r="C172" s="140" t="s">
        <v>183</v>
      </c>
      <c r="D172" s="140" t="s">
        <v>231</v>
      </c>
    </row>
    <row r="173" spans="1:19" s="38" customFormat="1" ht="14.25" customHeight="1" outlineLevel="1" x14ac:dyDescent="0.25">
      <c r="A173" s="151"/>
      <c r="B173" s="132" t="s">
        <v>120</v>
      </c>
      <c r="C173" s="137" t="s">
        <v>241</v>
      </c>
      <c r="F173" s="48"/>
      <c r="G173" s="48"/>
      <c r="H173" s="48"/>
      <c r="K173" s="48"/>
      <c r="L173" s="48"/>
      <c r="M173" s="48"/>
      <c r="N173" s="135"/>
      <c r="O173" s="135"/>
      <c r="P173" s="135"/>
      <c r="Q173" s="135"/>
      <c r="R173" s="135"/>
      <c r="S173" s="135"/>
    </row>
    <row r="174" spans="1:19" s="38" customFormat="1" ht="14.25" customHeight="1" outlineLevel="1" x14ac:dyDescent="0.25">
      <c r="A174" s="151"/>
      <c r="B174" s="129" t="s">
        <v>121</v>
      </c>
      <c r="C174" s="137" t="s">
        <v>241</v>
      </c>
      <c r="F174" s="48"/>
      <c r="G174" s="48"/>
      <c r="H174" s="48"/>
      <c r="K174" s="48"/>
      <c r="L174" s="48"/>
      <c r="M174" s="48"/>
      <c r="N174" s="135"/>
      <c r="O174" s="135"/>
      <c r="P174" s="135"/>
      <c r="Q174" s="135"/>
      <c r="R174" s="135"/>
      <c r="S174" s="135"/>
    </row>
    <row r="175" spans="1:19" ht="13.15" customHeight="1" outlineLevel="1" x14ac:dyDescent="0.25">
      <c r="D175" s="37"/>
      <c r="K175" s="48"/>
      <c r="L175" s="48"/>
      <c r="M175" s="48"/>
      <c r="N175" s="135"/>
      <c r="O175" s="135"/>
      <c r="P175" s="135"/>
      <c r="Q175" s="135"/>
      <c r="R175" s="135"/>
      <c r="S175" s="135"/>
    </row>
    <row r="176" spans="1:19" ht="13.15" customHeight="1" x14ac:dyDescent="0.25">
      <c r="D176" s="37"/>
      <c r="K176" s="48"/>
      <c r="L176" s="48"/>
      <c r="M176" s="48"/>
      <c r="N176" s="135"/>
      <c r="O176" s="135"/>
      <c r="P176" s="135"/>
      <c r="Q176" s="135"/>
      <c r="R176" s="135"/>
      <c r="S176" s="135"/>
    </row>
    <row r="177" spans="4:19" ht="13.15" customHeight="1" x14ac:dyDescent="0.25">
      <c r="D177" s="37"/>
      <c r="K177" s="48"/>
      <c r="L177" s="48"/>
      <c r="M177" s="48"/>
      <c r="N177" s="135"/>
      <c r="O177" s="135"/>
      <c r="P177" s="135"/>
      <c r="Q177" s="135"/>
      <c r="R177" s="135"/>
      <c r="S177" s="135"/>
    </row>
    <row r="178" spans="4:19" ht="13.15" customHeight="1" x14ac:dyDescent="0.25">
      <c r="D178" s="37"/>
      <c r="K178" s="48"/>
      <c r="L178" s="48"/>
      <c r="M178" s="48"/>
      <c r="N178" s="135"/>
      <c r="O178" s="135"/>
      <c r="P178" s="135"/>
      <c r="Q178" s="135"/>
      <c r="R178" s="135"/>
      <c r="S178" s="135"/>
    </row>
    <row r="179" spans="4:19" ht="13.15" customHeight="1" x14ac:dyDescent="0.25">
      <c r="D179" s="37"/>
      <c r="K179" s="48"/>
      <c r="L179" s="48"/>
      <c r="M179" s="48"/>
      <c r="N179" s="135"/>
      <c r="O179" s="135"/>
      <c r="P179" s="135"/>
      <c r="Q179" s="135"/>
      <c r="R179" s="135"/>
      <c r="S179" s="135"/>
    </row>
    <row r="180" spans="4:19" ht="13.15" customHeight="1" x14ac:dyDescent="0.25">
      <c r="D180" s="37"/>
      <c r="K180" s="48"/>
      <c r="L180" s="48"/>
      <c r="M180" s="48"/>
      <c r="N180" s="135"/>
      <c r="O180" s="135"/>
      <c r="P180" s="135"/>
      <c r="Q180" s="135"/>
      <c r="R180" s="135"/>
      <c r="S180" s="135"/>
    </row>
    <row r="181" spans="4:19" ht="13.15" customHeight="1" x14ac:dyDescent="0.25">
      <c r="D181" s="37"/>
      <c r="K181" s="48"/>
      <c r="L181" s="48"/>
      <c r="M181" s="48"/>
      <c r="N181" s="135"/>
      <c r="O181" s="135"/>
      <c r="P181" s="135"/>
      <c r="Q181" s="135"/>
      <c r="R181" s="135"/>
      <c r="S181" s="135"/>
    </row>
    <row r="182" spans="4:19" ht="13.15" customHeight="1" x14ac:dyDescent="0.25">
      <c r="D182" s="37"/>
      <c r="K182" s="48"/>
      <c r="L182" s="48"/>
      <c r="M182" s="48"/>
      <c r="N182" s="135"/>
      <c r="O182" s="135"/>
      <c r="P182" s="135"/>
      <c r="Q182" s="135"/>
      <c r="R182" s="135"/>
      <c r="S182" s="135"/>
    </row>
    <row r="183" spans="4:19" ht="13.15" customHeight="1" x14ac:dyDescent="0.25">
      <c r="D183" s="37"/>
      <c r="K183" s="48"/>
      <c r="L183" s="48"/>
      <c r="M183" s="48"/>
      <c r="N183" s="135"/>
      <c r="O183" s="135"/>
      <c r="P183" s="135"/>
      <c r="Q183" s="135"/>
      <c r="R183" s="135"/>
      <c r="S183" s="135"/>
    </row>
    <row r="184" spans="4:19" ht="13.15" customHeight="1" x14ac:dyDescent="0.25">
      <c r="D184" s="37"/>
      <c r="K184" s="48"/>
      <c r="L184" s="48"/>
      <c r="M184" s="48"/>
      <c r="N184" s="135"/>
      <c r="O184" s="135"/>
      <c r="P184" s="135"/>
      <c r="Q184" s="135"/>
      <c r="R184" s="135"/>
      <c r="S184" s="135"/>
    </row>
    <row r="185" spans="4:19" ht="13.15" customHeight="1" x14ac:dyDescent="0.25">
      <c r="D185" s="37"/>
      <c r="K185" s="48"/>
      <c r="L185" s="48"/>
      <c r="M185" s="48"/>
      <c r="N185" s="135"/>
      <c r="O185" s="135"/>
      <c r="P185" s="135"/>
      <c r="Q185" s="135"/>
      <c r="R185" s="135"/>
      <c r="S185" s="135"/>
    </row>
    <row r="186" spans="4:19" ht="13.15" customHeight="1" x14ac:dyDescent="0.25">
      <c r="D186" s="37"/>
      <c r="K186" s="48"/>
      <c r="L186" s="48"/>
      <c r="M186" s="48"/>
      <c r="N186" s="135"/>
      <c r="O186" s="135"/>
      <c r="P186" s="135"/>
      <c r="Q186" s="135"/>
      <c r="R186" s="135"/>
      <c r="S186" s="135"/>
    </row>
    <row r="187" spans="4:19" ht="13.15" customHeight="1" x14ac:dyDescent="0.25">
      <c r="D187" s="37"/>
      <c r="K187" s="48"/>
      <c r="L187" s="48"/>
      <c r="M187" s="48"/>
      <c r="N187" s="135"/>
      <c r="O187" s="135"/>
      <c r="P187" s="135"/>
      <c r="Q187" s="135"/>
      <c r="R187" s="135"/>
      <c r="S187" s="135"/>
    </row>
    <row r="188" spans="4:19" ht="13.15" customHeight="1" x14ac:dyDescent="0.25">
      <c r="D188" s="37"/>
      <c r="K188" s="48"/>
      <c r="L188" s="48"/>
      <c r="M188" s="48"/>
      <c r="N188" s="135"/>
      <c r="O188" s="135"/>
      <c r="P188" s="135"/>
      <c r="Q188" s="135"/>
      <c r="R188" s="135"/>
      <c r="S188" s="135"/>
    </row>
    <row r="189" spans="4:19" ht="13.15" customHeight="1" x14ac:dyDescent="0.25">
      <c r="D189" s="37"/>
      <c r="K189" s="48"/>
      <c r="L189" s="48"/>
      <c r="M189" s="48"/>
      <c r="N189" s="135"/>
      <c r="O189" s="135"/>
      <c r="P189" s="135"/>
      <c r="Q189" s="135"/>
      <c r="R189" s="135"/>
      <c r="S189" s="135"/>
    </row>
    <row r="190" spans="4:19" x14ac:dyDescent="0.25">
      <c r="K190" s="48"/>
      <c r="L190" s="48"/>
      <c r="M190" s="48"/>
      <c r="N190" s="135"/>
      <c r="O190" s="135"/>
      <c r="P190" s="135"/>
      <c r="Q190" s="135"/>
      <c r="R190" s="135"/>
      <c r="S190" s="135"/>
    </row>
    <row r="191" spans="4:19" x14ac:dyDescent="0.2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activeCell="B21" sqref="B21"/>
    </sheetView>
  </sheetViews>
  <sheetFormatPr baseColWidth="10" defaultColWidth="9.140625" defaultRowHeight="15" x14ac:dyDescent="0.25"/>
  <cols>
    <col min="1" max="1" width="61.5703125" bestFit="1" customWidth="1"/>
    <col min="2" max="2" width="96.28515625" bestFit="1" customWidth="1"/>
    <col min="3" max="3" width="11.42578125" bestFit="1" customWidth="1"/>
  </cols>
  <sheetData>
    <row r="1" spans="1:4" x14ac:dyDescent="0.25">
      <c r="A1" s="188" t="s">
        <v>242</v>
      </c>
      <c r="B1" s="188"/>
      <c r="C1" s="188"/>
      <c r="D1" s="188"/>
    </row>
    <row r="2" spans="1:4" x14ac:dyDescent="0.25">
      <c r="A2" s="188" t="s">
        <v>243</v>
      </c>
      <c r="B2" s="188" t="s">
        <v>244</v>
      </c>
      <c r="C2" s="188" t="s">
        <v>245</v>
      </c>
      <c r="D2" s="188" t="s">
        <v>246</v>
      </c>
    </row>
    <row r="3" spans="1:4" x14ac:dyDescent="0.25">
      <c r="A3" s="188" t="s">
        <v>247</v>
      </c>
      <c r="B3" s="188"/>
      <c r="C3" s="188"/>
      <c r="D3" s="188"/>
    </row>
    <row r="4" spans="1:4" x14ac:dyDescent="0.25">
      <c r="A4" s="188" t="s">
        <v>248</v>
      </c>
      <c r="B4" s="260" t="s">
        <v>932</v>
      </c>
      <c r="C4" s="188" t="s">
        <v>249</v>
      </c>
      <c r="D4" s="188" t="s">
        <v>250</v>
      </c>
    </row>
    <row r="5" spans="1:4" x14ac:dyDescent="0.25">
      <c r="A5" s="188" t="s">
        <v>251</v>
      </c>
      <c r="B5" s="188"/>
      <c r="C5" s="188" t="s">
        <v>249</v>
      </c>
      <c r="D5" s="188" t="s">
        <v>252</v>
      </c>
    </row>
    <row r="6" spans="1:4" x14ac:dyDescent="0.25">
      <c r="A6" s="188" t="s">
        <v>253</v>
      </c>
      <c r="B6" s="260" t="s">
        <v>933</v>
      </c>
      <c r="C6" s="188" t="s">
        <v>249</v>
      </c>
      <c r="D6" s="188" t="s">
        <v>254</v>
      </c>
    </row>
    <row r="7" spans="1:4" x14ac:dyDescent="0.25">
      <c r="A7" s="188" t="s">
        <v>255</v>
      </c>
      <c r="B7" s="188"/>
      <c r="C7" s="188" t="s">
        <v>256</v>
      </c>
      <c r="D7" s="188" t="s">
        <v>257</v>
      </c>
    </row>
    <row r="8" spans="1:4" x14ac:dyDescent="0.25">
      <c r="A8" s="188" t="s">
        <v>258</v>
      </c>
      <c r="B8" s="260" t="s">
        <v>934</v>
      </c>
      <c r="C8" s="188" t="s">
        <v>256</v>
      </c>
      <c r="D8" s="188" t="s">
        <v>257</v>
      </c>
    </row>
    <row r="9" spans="1:4" x14ac:dyDescent="0.25">
      <c r="A9" s="188" t="s">
        <v>259</v>
      </c>
      <c r="B9" s="260" t="s">
        <v>935</v>
      </c>
      <c r="C9" s="188" t="s">
        <v>249</v>
      </c>
      <c r="D9" s="188" t="s">
        <v>260</v>
      </c>
    </row>
    <row r="10" spans="1:4" x14ac:dyDescent="0.25">
      <c r="A10" s="188" t="s">
        <v>261</v>
      </c>
      <c r="B10" s="188"/>
      <c r="C10" s="188" t="s">
        <v>249</v>
      </c>
      <c r="D10" s="188" t="s">
        <v>262</v>
      </c>
    </row>
    <row r="11" spans="1:4" x14ac:dyDescent="0.25">
      <c r="A11" s="188"/>
      <c r="B11" s="188"/>
      <c r="C11" s="188" t="s">
        <v>263</v>
      </c>
      <c r="D11" s="188" t="s">
        <v>264</v>
      </c>
    </row>
    <row r="12" spans="1:4" x14ac:dyDescent="0.25">
      <c r="A12" s="188" t="s">
        <v>265</v>
      </c>
      <c r="B12" s="188"/>
      <c r="C12" s="188"/>
      <c r="D12" s="188"/>
    </row>
    <row r="13" spans="1:4" x14ac:dyDescent="0.25">
      <c r="A13" s="188" t="s">
        <v>266</v>
      </c>
      <c r="B13" s="260" t="s">
        <v>468</v>
      </c>
      <c r="C13" s="188" t="s">
        <v>249</v>
      </c>
      <c r="D13" s="188" t="s">
        <v>267</v>
      </c>
    </row>
    <row r="14" spans="1:4" x14ac:dyDescent="0.25">
      <c r="A14" s="188"/>
      <c r="B14" s="188"/>
      <c r="C14" s="188"/>
      <c r="D14" s="188"/>
    </row>
    <row r="15" spans="1:4" x14ac:dyDescent="0.25">
      <c r="A15" s="188" t="s">
        <v>268</v>
      </c>
      <c r="B15" s="188"/>
      <c r="C15" s="188"/>
      <c r="D15" s="188"/>
    </row>
    <row r="16" spans="1:4" x14ac:dyDescent="0.25">
      <c r="A16" s="188" t="s">
        <v>249</v>
      </c>
      <c r="B16" s="188" t="s">
        <v>269</v>
      </c>
      <c r="C16" s="188"/>
      <c r="D16" s="188"/>
    </row>
    <row r="17" spans="1:4" x14ac:dyDescent="0.25">
      <c r="A17" s="188" t="s">
        <v>256</v>
      </c>
      <c r="B17" s="188" t="s">
        <v>270</v>
      </c>
      <c r="C17" s="188"/>
      <c r="D17" s="188"/>
    </row>
  </sheetData>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workbookViewId="0">
      <pane ySplit="2" topLeftCell="A3" activePane="bottomLeft" state="frozen"/>
      <selection pane="bottomLeft" activeCell="A34" sqref="A34"/>
    </sheetView>
  </sheetViews>
  <sheetFormatPr baseColWidth="10" defaultColWidth="9.140625" defaultRowHeight="15" x14ac:dyDescent="0.25"/>
  <cols>
    <col min="1" max="1" width="70.28515625" bestFit="1" customWidth="1"/>
    <col min="2" max="2" width="146.7109375" bestFit="1" customWidth="1"/>
  </cols>
  <sheetData>
    <row r="1" spans="1:4" x14ac:dyDescent="0.25">
      <c r="A1" s="188" t="s">
        <v>271</v>
      </c>
      <c r="B1" s="188"/>
      <c r="C1" s="188"/>
      <c r="D1" s="188"/>
    </row>
    <row r="2" spans="1:4" x14ac:dyDescent="0.25">
      <c r="A2" s="188" t="s">
        <v>243</v>
      </c>
      <c r="B2" s="188" t="s">
        <v>244</v>
      </c>
      <c r="C2" s="188" t="s">
        <v>245</v>
      </c>
      <c r="D2" s="188" t="s">
        <v>246</v>
      </c>
    </row>
    <row r="3" spans="1:4" x14ac:dyDescent="0.25">
      <c r="A3" s="188" t="s">
        <v>272</v>
      </c>
      <c r="B3" s="188"/>
      <c r="C3" s="188"/>
      <c r="D3" s="188"/>
    </row>
    <row r="4" spans="1:4" x14ac:dyDescent="0.25">
      <c r="A4" s="188" t="s">
        <v>273</v>
      </c>
      <c r="B4" s="188"/>
      <c r="C4" s="188" t="s">
        <v>274</v>
      </c>
      <c r="D4" s="188" t="s">
        <v>275</v>
      </c>
    </row>
    <row r="5" spans="1:4" x14ac:dyDescent="0.25">
      <c r="A5" s="188" t="s">
        <v>276</v>
      </c>
      <c r="B5" s="188"/>
      <c r="C5" s="188" t="s">
        <v>274</v>
      </c>
      <c r="D5" s="188" t="s">
        <v>277</v>
      </c>
    </row>
    <row r="6" spans="1:4" x14ac:dyDescent="0.25">
      <c r="A6" s="188" t="s">
        <v>278</v>
      </c>
      <c r="B6" s="188"/>
      <c r="C6" s="188" t="s">
        <v>274</v>
      </c>
      <c r="D6" s="188" t="s">
        <v>279</v>
      </c>
    </row>
    <row r="7" spans="1:4" x14ac:dyDescent="0.25">
      <c r="A7" s="188" t="s">
        <v>17</v>
      </c>
      <c r="B7" s="188"/>
      <c r="C7" s="188" t="s">
        <v>256</v>
      </c>
      <c r="D7" s="188" t="s">
        <v>280</v>
      </c>
    </row>
    <row r="8" spans="1:4" x14ac:dyDescent="0.25">
      <c r="A8" s="188" t="s">
        <v>16</v>
      </c>
      <c r="B8" s="188"/>
      <c r="C8" s="188" t="s">
        <v>256</v>
      </c>
      <c r="D8" s="188" t="s">
        <v>281</v>
      </c>
    </row>
    <row r="9" spans="1:4" x14ac:dyDescent="0.25">
      <c r="A9" s="188" t="s">
        <v>282</v>
      </c>
      <c r="B9" s="188"/>
      <c r="C9" s="188" t="s">
        <v>274</v>
      </c>
      <c r="D9" s="188" t="s">
        <v>283</v>
      </c>
    </row>
    <row r="10" spans="1:4" x14ac:dyDescent="0.25">
      <c r="A10" s="188" t="s">
        <v>284</v>
      </c>
      <c r="B10" s="188"/>
      <c r="C10" s="188" t="s">
        <v>256</v>
      </c>
      <c r="D10" s="188" t="s">
        <v>285</v>
      </c>
    </row>
    <row r="11" spans="1:4" x14ac:dyDescent="0.25">
      <c r="A11" s="188" t="s">
        <v>286</v>
      </c>
      <c r="B11" s="188"/>
      <c r="C11" s="188" t="s">
        <v>256</v>
      </c>
      <c r="D11" s="188" t="s">
        <v>287</v>
      </c>
    </row>
    <row r="12" spans="1:4" x14ac:dyDescent="0.25">
      <c r="A12" s="188" t="s">
        <v>288</v>
      </c>
      <c r="B12" s="188"/>
      <c r="C12" s="188" t="s">
        <v>256</v>
      </c>
    </row>
    <row r="13" spans="1:4" x14ac:dyDescent="0.25">
      <c r="A13" s="188" t="s">
        <v>289</v>
      </c>
      <c r="B13" s="188"/>
      <c r="C13" s="188" t="s">
        <v>256</v>
      </c>
    </row>
    <row r="14" spans="1:4" x14ac:dyDescent="0.25">
      <c r="A14" s="188" t="s">
        <v>290</v>
      </c>
      <c r="B14" s="188"/>
      <c r="C14" s="188" t="s">
        <v>256</v>
      </c>
    </row>
    <row r="15" spans="1:4" x14ac:dyDescent="0.25">
      <c r="A15" s="188" t="s">
        <v>291</v>
      </c>
      <c r="B15" s="188"/>
      <c r="C15" s="188"/>
      <c r="D15" s="188"/>
    </row>
    <row r="16" spans="1:4" x14ac:dyDescent="0.25">
      <c r="A16" s="188" t="s">
        <v>292</v>
      </c>
      <c r="B16" s="188"/>
      <c r="C16" s="188" t="s">
        <v>256</v>
      </c>
      <c r="D16" s="188" t="s">
        <v>293</v>
      </c>
    </row>
    <row r="17" spans="1:4" x14ac:dyDescent="0.25">
      <c r="A17" s="188" t="s">
        <v>294</v>
      </c>
      <c r="B17" s="188"/>
      <c r="C17" s="188" t="s">
        <v>256</v>
      </c>
      <c r="D17" s="188" t="s">
        <v>295</v>
      </c>
    </row>
    <row r="18" spans="1:4" x14ac:dyDescent="0.25">
      <c r="A18" s="188" t="s">
        <v>296</v>
      </c>
      <c r="B18" s="188"/>
      <c r="C18" s="188" t="s">
        <v>256</v>
      </c>
      <c r="D18" s="188" t="s">
        <v>297</v>
      </c>
    </row>
    <row r="19" spans="1:4" x14ac:dyDescent="0.25">
      <c r="A19" s="188" t="s">
        <v>298</v>
      </c>
      <c r="B19" s="188"/>
      <c r="C19" s="188" t="s">
        <v>256</v>
      </c>
      <c r="D19" s="188" t="s">
        <v>299</v>
      </c>
    </row>
    <row r="20" spans="1:4" x14ac:dyDescent="0.25">
      <c r="A20" s="188" t="s">
        <v>300</v>
      </c>
      <c r="B20" s="188"/>
      <c r="C20" s="188" t="s">
        <v>256</v>
      </c>
      <c r="D20" s="188" t="s">
        <v>301</v>
      </c>
    </row>
    <row r="21" spans="1:4" x14ac:dyDescent="0.25">
      <c r="A21" s="188" t="s">
        <v>302</v>
      </c>
      <c r="B21" s="188"/>
      <c r="C21" s="188" t="s">
        <v>256</v>
      </c>
      <c r="D21" s="188" t="s">
        <v>303</v>
      </c>
    </row>
    <row r="22" spans="1:4" x14ac:dyDescent="0.25">
      <c r="A22" s="188" t="s">
        <v>304</v>
      </c>
      <c r="B22" s="188"/>
      <c r="C22" s="188" t="s">
        <v>256</v>
      </c>
      <c r="D22" s="188" t="s">
        <v>305</v>
      </c>
    </row>
    <row r="23" spans="1:4" x14ac:dyDescent="0.25">
      <c r="A23" s="188" t="s">
        <v>306</v>
      </c>
      <c r="B23" s="188"/>
      <c r="C23" s="188" t="s">
        <v>256</v>
      </c>
      <c r="D23" s="188" t="s">
        <v>307</v>
      </c>
    </row>
    <row r="24" spans="1:4" x14ac:dyDescent="0.25">
      <c r="A24" s="188" t="s">
        <v>308</v>
      </c>
      <c r="B24" s="188"/>
      <c r="C24" s="188" t="s">
        <v>256</v>
      </c>
      <c r="D24" s="188" t="s">
        <v>309</v>
      </c>
    </row>
    <row r="25" spans="1:4" x14ac:dyDescent="0.25">
      <c r="A25" s="188" t="s">
        <v>310</v>
      </c>
      <c r="B25" s="188"/>
      <c r="C25" s="188" t="s">
        <v>256</v>
      </c>
      <c r="D25" s="188" t="s">
        <v>311</v>
      </c>
    </row>
    <row r="26" spans="1:4" x14ac:dyDescent="0.25">
      <c r="A26" s="188" t="s">
        <v>312</v>
      </c>
      <c r="B26" s="188"/>
      <c r="C26" s="188"/>
      <c r="D26" s="188"/>
    </row>
    <row r="27" spans="1:4" x14ac:dyDescent="0.25">
      <c r="A27" s="188" t="s">
        <v>313</v>
      </c>
      <c r="B27" s="188"/>
      <c r="C27" s="188" t="s">
        <v>256</v>
      </c>
      <c r="D27" s="188" t="s">
        <v>314</v>
      </c>
    </row>
    <row r="28" spans="1:4" x14ac:dyDescent="0.25">
      <c r="A28" s="188" t="s">
        <v>315</v>
      </c>
      <c r="B28" s="188"/>
      <c r="C28" s="188" t="s">
        <v>256</v>
      </c>
      <c r="D28" s="188" t="s">
        <v>316</v>
      </c>
    </row>
    <row r="29" spans="1:4" x14ac:dyDescent="0.25">
      <c r="A29" s="188" t="s">
        <v>317</v>
      </c>
      <c r="B29" s="188"/>
      <c r="C29" s="188"/>
      <c r="D29" s="188"/>
    </row>
    <row r="30" spans="1:4" x14ac:dyDescent="0.25">
      <c r="A30" s="188" t="s">
        <v>318</v>
      </c>
      <c r="B30" s="188"/>
      <c r="C30" s="188" t="s">
        <v>256</v>
      </c>
      <c r="D30" s="188" t="s">
        <v>319</v>
      </c>
    </row>
    <row r="31" spans="1:4" x14ac:dyDescent="0.25">
      <c r="A31" s="188" t="s">
        <v>320</v>
      </c>
      <c r="B31" s="188"/>
      <c r="C31" s="188" t="s">
        <v>256</v>
      </c>
      <c r="D31" s="188" t="s">
        <v>321</v>
      </c>
    </row>
    <row r="32" spans="1:4" x14ac:dyDescent="0.25">
      <c r="A32" s="188" t="s">
        <v>322</v>
      </c>
      <c r="B32" s="188"/>
      <c r="C32" s="188" t="s">
        <v>256</v>
      </c>
      <c r="D32" s="188" t="s">
        <v>323</v>
      </c>
    </row>
    <row r="33" spans="1:4" x14ac:dyDescent="0.25">
      <c r="A33" s="188" t="s">
        <v>324</v>
      </c>
      <c r="B33" s="188"/>
      <c r="C33" s="188" t="s">
        <v>256</v>
      </c>
      <c r="D33" s="188" t="s">
        <v>325</v>
      </c>
    </row>
    <row r="34" spans="1:4" x14ac:dyDescent="0.25">
      <c r="A34" s="188" t="s">
        <v>326</v>
      </c>
      <c r="B34" s="188"/>
      <c r="C34" s="188"/>
      <c r="D34" s="188"/>
    </row>
    <row r="35" spans="1:4" x14ac:dyDescent="0.25">
      <c r="A35" s="188" t="s">
        <v>327</v>
      </c>
      <c r="B35" s="188"/>
      <c r="C35" s="188" t="s">
        <v>256</v>
      </c>
      <c r="D35" s="188" t="s">
        <v>328</v>
      </c>
    </row>
    <row r="36" spans="1:4" x14ac:dyDescent="0.25">
      <c r="A36" s="188" t="s">
        <v>329</v>
      </c>
      <c r="B36" s="188"/>
      <c r="C36" s="188" t="s">
        <v>256</v>
      </c>
    </row>
    <row r="37" spans="1:4" x14ac:dyDescent="0.25">
      <c r="A37" s="188" t="s">
        <v>330</v>
      </c>
      <c r="B37" s="188"/>
      <c r="C37" s="188" t="s">
        <v>256</v>
      </c>
    </row>
    <row r="38" spans="1:4" x14ac:dyDescent="0.25">
      <c r="A38" s="188" t="s">
        <v>331</v>
      </c>
      <c r="B38" s="188"/>
      <c r="C38" s="188" t="s">
        <v>256</v>
      </c>
    </row>
    <row r="39" spans="1:4" x14ac:dyDescent="0.25">
      <c r="A39" s="188" t="s">
        <v>332</v>
      </c>
      <c r="B39" s="188"/>
      <c r="C39" s="188" t="s">
        <v>256</v>
      </c>
    </row>
    <row r="40" spans="1:4" x14ac:dyDescent="0.25">
      <c r="A40" s="188" t="s">
        <v>333</v>
      </c>
      <c r="B40" s="188"/>
      <c r="C40" s="188" t="s">
        <v>256</v>
      </c>
    </row>
    <row r="41" spans="1:4" x14ac:dyDescent="0.25">
      <c r="A41" s="188"/>
      <c r="B41" s="188" t="s">
        <v>334</v>
      </c>
      <c r="C41" s="188" t="s">
        <v>263</v>
      </c>
    </row>
    <row r="42" spans="1:4" x14ac:dyDescent="0.25">
      <c r="A42" s="188"/>
      <c r="B42" s="188"/>
      <c r="C42" s="188"/>
    </row>
    <row r="43" spans="1:4" x14ac:dyDescent="0.25">
      <c r="B43" s="188"/>
      <c r="C43" s="188"/>
    </row>
    <row r="44" spans="1:4" x14ac:dyDescent="0.25">
      <c r="B44" s="188" t="s">
        <v>335</v>
      </c>
      <c r="C44" s="188"/>
    </row>
    <row r="45" spans="1:4" x14ac:dyDescent="0.25">
      <c r="B45" s="188" t="s">
        <v>270</v>
      </c>
      <c r="C45" s="188"/>
      <c r="D45" s="188"/>
    </row>
  </sheetData>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E25"/>
  <sheetViews>
    <sheetView showGridLines="0" topLeftCell="N1" zoomScaleNormal="100" workbookViewId="0">
      <pane ySplit="3" topLeftCell="A4" activePane="bottomLeft" state="frozen"/>
      <selection pane="bottomLeft" activeCell="AB7" sqref="AB7"/>
    </sheetView>
  </sheetViews>
  <sheetFormatPr baseColWidth="10" defaultColWidth="11.5703125" defaultRowHeight="14.25" outlineLevelCol="1" x14ac:dyDescent="0.25"/>
  <cols>
    <col min="1" max="1" width="3.7109375" style="125" customWidth="1"/>
    <col min="2" max="2" width="25.7109375" style="50" customWidth="1" outlineLevel="1"/>
    <col min="3" max="3" width="3.7109375" style="125" customWidth="1"/>
    <col min="4" max="6" width="20.7109375" style="57" customWidth="1" outlineLevel="1"/>
    <col min="7" max="7" width="3.7109375" style="125" customWidth="1"/>
    <col min="8" max="12" width="20.7109375" style="57" customWidth="1" outlineLevel="1"/>
    <col min="13" max="13" width="50.7109375" style="57" customWidth="1" outlineLevel="1"/>
    <col min="14" max="14" width="6.5703125" style="57" customWidth="1" outlineLevel="1"/>
    <col min="15" max="15" width="6.5703125" style="125" customWidth="1"/>
    <col min="16" max="16" width="25.140625" style="58" customWidth="1" outlineLevel="1"/>
    <col min="17" max="17" width="32.140625" style="58" customWidth="1" outlineLevel="1"/>
    <col min="18" max="20" width="6.5703125" style="58" customWidth="1" outlineLevel="1"/>
    <col min="21" max="21" width="18.140625" style="125" customWidth="1"/>
    <col min="22" max="22" width="15.85546875" style="50" customWidth="1" outlineLevel="1"/>
    <col min="23" max="23" width="25.7109375" style="50" customWidth="1" outlineLevel="1"/>
    <col min="24" max="24" width="15.85546875" style="50" customWidth="1" outlineLevel="1"/>
    <col min="25" max="25" width="21.28515625" style="125" customWidth="1"/>
    <col min="26" max="26" width="6.5703125" style="50" customWidth="1" outlineLevel="1"/>
    <col min="27" max="27" width="11.5703125" style="50" customWidth="1"/>
    <col min="28" max="28" width="23.7109375" style="50" customWidth="1"/>
    <col min="29" max="30" width="11.5703125" style="50" customWidth="1"/>
    <col min="31" max="31" width="26.42578125" style="50" customWidth="1"/>
    <col min="32" max="16384" width="11.5703125" style="50"/>
  </cols>
  <sheetData>
    <row r="1" spans="1:31" s="55" customFormat="1" ht="120" customHeight="1" x14ac:dyDescent="0.25">
      <c r="A1" s="106" t="s">
        <v>0</v>
      </c>
      <c r="B1" s="93" t="s">
        <v>1</v>
      </c>
      <c r="C1" s="126" t="s">
        <v>2</v>
      </c>
      <c r="D1" s="93" t="s">
        <v>3</v>
      </c>
      <c r="E1" s="93" t="s">
        <v>4</v>
      </c>
      <c r="F1" s="93" t="s">
        <v>5</v>
      </c>
      <c r="G1" s="175" t="s">
        <v>6</v>
      </c>
      <c r="H1" s="93" t="s">
        <v>7</v>
      </c>
      <c r="I1" s="93" t="s">
        <v>8</v>
      </c>
      <c r="J1" s="93" t="s">
        <v>9</v>
      </c>
      <c r="K1" s="93" t="s">
        <v>10</v>
      </c>
      <c r="L1" s="93" t="s">
        <v>11</v>
      </c>
      <c r="M1" s="93" t="s">
        <v>12</v>
      </c>
      <c r="N1" s="211" t="s">
        <v>13</v>
      </c>
      <c r="O1" s="211" t="s">
        <v>14</v>
      </c>
      <c r="P1" s="93" t="s">
        <v>15</v>
      </c>
      <c r="Q1" s="93" t="s">
        <v>16</v>
      </c>
      <c r="R1" s="211" t="s">
        <v>17</v>
      </c>
      <c r="S1" s="211" t="s">
        <v>18</v>
      </c>
      <c r="T1" s="176" t="s">
        <v>19</v>
      </c>
      <c r="U1" s="93" t="s">
        <v>20</v>
      </c>
      <c r="V1" s="93" t="s">
        <v>21</v>
      </c>
      <c r="W1" s="93" t="s">
        <v>22</v>
      </c>
      <c r="X1" s="93" t="s">
        <v>23</v>
      </c>
      <c r="Y1" s="93" t="s">
        <v>24</v>
      </c>
      <c r="Z1" s="177" t="s">
        <v>25</v>
      </c>
      <c r="AA1" s="93" t="s">
        <v>26</v>
      </c>
      <c r="AB1" s="93" t="s">
        <v>27</v>
      </c>
      <c r="AC1" s="93" t="s">
        <v>28</v>
      </c>
      <c r="AD1" s="178" t="s">
        <v>29</v>
      </c>
      <c r="AE1" s="93" t="s">
        <v>30</v>
      </c>
    </row>
    <row r="2" spans="1:31" s="56" customFormat="1" ht="20.100000000000001" customHeight="1" x14ac:dyDescent="0.25">
      <c r="A2" s="102"/>
      <c r="B2" s="113" t="s">
        <v>31</v>
      </c>
      <c r="C2" s="102"/>
      <c r="D2" s="115"/>
      <c r="E2" s="60"/>
      <c r="F2" s="60"/>
      <c r="G2" s="102"/>
      <c r="H2" s="59"/>
      <c r="I2" s="60"/>
      <c r="J2" s="60"/>
      <c r="K2" s="59"/>
      <c r="L2" s="59"/>
      <c r="M2" s="59"/>
      <c r="N2" s="59"/>
      <c r="O2" s="59"/>
      <c r="P2" s="59"/>
      <c r="Q2" s="59"/>
      <c r="R2" s="59"/>
      <c r="S2" s="59"/>
      <c r="T2" s="102"/>
      <c r="U2" s="59"/>
      <c r="V2" s="59"/>
      <c r="W2" s="59"/>
      <c r="X2" s="59"/>
      <c r="Y2" s="59"/>
      <c r="Z2" s="102"/>
      <c r="AA2" s="110"/>
      <c r="AB2" s="60"/>
      <c r="AC2" s="59"/>
      <c r="AD2" s="102"/>
      <c r="AE2" s="110"/>
    </row>
    <row r="3" spans="1:31" s="92" customFormat="1" ht="11.25" customHeight="1" x14ac:dyDescent="0.25">
      <c r="A3" s="102"/>
      <c r="B3" s="113" t="s">
        <v>32</v>
      </c>
      <c r="C3" s="102"/>
      <c r="D3" s="115"/>
      <c r="E3" s="60"/>
      <c r="F3" s="60"/>
      <c r="G3" s="102"/>
      <c r="H3" s="59"/>
      <c r="I3" s="60"/>
      <c r="J3" s="60"/>
      <c r="K3" s="59"/>
      <c r="L3" s="59"/>
      <c r="M3" s="59"/>
      <c r="N3" s="59"/>
      <c r="O3" s="59"/>
      <c r="P3" s="59"/>
      <c r="Q3" s="59"/>
      <c r="R3" s="59"/>
      <c r="S3" s="59"/>
      <c r="T3" s="102"/>
      <c r="U3" s="59"/>
      <c r="V3" s="59"/>
      <c r="W3" s="59"/>
      <c r="X3" s="59"/>
      <c r="Y3" s="59"/>
      <c r="Z3" s="102"/>
      <c r="AA3" s="110"/>
      <c r="AB3" s="60"/>
      <c r="AC3" s="59"/>
      <c r="AD3" s="102"/>
      <c r="AE3" s="110"/>
    </row>
    <row r="4" spans="1:31" s="30" customFormat="1" x14ac:dyDescent="0.25">
      <c r="A4" s="102"/>
      <c r="B4" s="113" t="s">
        <v>33</v>
      </c>
      <c r="C4" s="102"/>
      <c r="D4" s="115" t="s">
        <v>34</v>
      </c>
      <c r="E4" s="60" t="s">
        <v>34</v>
      </c>
      <c r="F4" s="60" t="s">
        <v>34</v>
      </c>
      <c r="G4" s="102"/>
      <c r="H4" s="59" t="s">
        <v>34</v>
      </c>
      <c r="I4" s="60" t="s">
        <v>34</v>
      </c>
      <c r="J4" s="60" t="s">
        <v>34</v>
      </c>
      <c r="K4" s="59" t="s">
        <v>34</v>
      </c>
      <c r="L4" s="59" t="s">
        <v>35</v>
      </c>
      <c r="M4" s="59" t="s">
        <v>36</v>
      </c>
      <c r="N4" s="59" t="s">
        <v>37</v>
      </c>
      <c r="O4" s="59" t="s">
        <v>38</v>
      </c>
      <c r="P4" s="59" t="s">
        <v>35</v>
      </c>
      <c r="Q4" s="59" t="s">
        <v>36</v>
      </c>
      <c r="R4" s="59" t="s">
        <v>37</v>
      </c>
      <c r="S4" s="59" t="s">
        <v>38</v>
      </c>
      <c r="T4" s="102"/>
      <c r="U4" s="59" t="s">
        <v>34</v>
      </c>
      <c r="V4" s="59" t="s">
        <v>34</v>
      </c>
      <c r="W4" s="59" t="s">
        <v>34</v>
      </c>
      <c r="X4" s="59" t="s">
        <v>34</v>
      </c>
      <c r="Y4" s="59" t="s">
        <v>34</v>
      </c>
      <c r="Z4" s="102"/>
      <c r="AA4" s="111" t="s">
        <v>34</v>
      </c>
      <c r="AB4" s="59" t="s">
        <v>34</v>
      </c>
      <c r="AC4" s="59" t="s">
        <v>34</v>
      </c>
      <c r="AD4" s="102"/>
      <c r="AE4" s="110" t="s">
        <v>34</v>
      </c>
    </row>
    <row r="5" spans="1:31" s="30" customFormat="1" x14ac:dyDescent="0.25">
      <c r="A5" s="102"/>
      <c r="B5" s="113" t="s">
        <v>39</v>
      </c>
      <c r="C5" s="102"/>
      <c r="D5" s="115"/>
      <c r="E5" s="60"/>
      <c r="F5" s="60"/>
      <c r="G5" s="102"/>
      <c r="H5" s="59" t="s">
        <v>40</v>
      </c>
      <c r="I5" s="60" t="s">
        <v>41</v>
      </c>
      <c r="J5" s="60"/>
      <c r="K5" s="59"/>
      <c r="L5" s="59"/>
      <c r="M5" s="59"/>
      <c r="N5" s="59"/>
      <c r="O5" s="59"/>
      <c r="P5" s="59"/>
      <c r="Q5" s="59"/>
      <c r="R5" s="59"/>
      <c r="S5" s="59"/>
      <c r="T5" s="102"/>
      <c r="U5" s="59" t="s">
        <v>40</v>
      </c>
      <c r="V5" s="59" t="s">
        <v>40</v>
      </c>
      <c r="W5" s="59" t="s">
        <v>40</v>
      </c>
      <c r="X5" s="59" t="s">
        <v>40</v>
      </c>
      <c r="Y5" s="59" t="s">
        <v>40</v>
      </c>
      <c r="Z5" s="102"/>
      <c r="AA5" s="111" t="s">
        <v>40</v>
      </c>
      <c r="AB5" s="59" t="s">
        <v>40</v>
      </c>
      <c r="AC5" s="59" t="s">
        <v>40</v>
      </c>
      <c r="AD5" s="102"/>
      <c r="AE5" s="110" t="s">
        <v>40</v>
      </c>
    </row>
    <row r="6" spans="1:31" s="30" customFormat="1" ht="15" customHeight="1" x14ac:dyDescent="0.25">
      <c r="A6" s="102"/>
      <c r="B6" s="113" t="s">
        <v>42</v>
      </c>
      <c r="C6" s="102"/>
      <c r="D6" s="115"/>
      <c r="E6" s="60"/>
      <c r="F6" s="60"/>
      <c r="G6" s="102"/>
      <c r="H6" s="59"/>
      <c r="I6" s="60"/>
      <c r="J6" s="60"/>
      <c r="K6" s="59" t="s">
        <v>43</v>
      </c>
      <c r="L6" s="59"/>
      <c r="M6" s="59"/>
      <c r="N6" s="59"/>
      <c r="O6" s="59"/>
      <c r="P6" s="59"/>
      <c r="Q6" s="59"/>
      <c r="R6" s="59"/>
      <c r="S6" s="59"/>
      <c r="T6" s="102"/>
      <c r="U6" s="59"/>
      <c r="V6" s="59"/>
      <c r="W6" s="59"/>
      <c r="X6" s="59"/>
      <c r="Y6" s="59"/>
      <c r="Z6" s="102"/>
      <c r="AA6" s="110" t="s">
        <v>26</v>
      </c>
      <c r="AB6" s="60"/>
      <c r="AC6" s="112"/>
      <c r="AD6" s="102"/>
      <c r="AE6" s="110"/>
    </row>
    <row r="7" spans="1:31" s="184" customFormat="1" ht="56.25" customHeight="1" x14ac:dyDescent="0.25">
      <c r="A7" s="200"/>
      <c r="B7" s="199" t="s">
        <v>44</v>
      </c>
      <c r="C7" s="200"/>
      <c r="D7" s="115" t="s">
        <v>45</v>
      </c>
      <c r="E7" s="115" t="s">
        <v>45</v>
      </c>
      <c r="F7" s="115" t="s">
        <v>45</v>
      </c>
      <c r="G7" s="200"/>
      <c r="H7" s="205" t="s">
        <v>46</v>
      </c>
      <c r="I7" s="115" t="s">
        <v>47</v>
      </c>
      <c r="J7" s="115" t="s">
        <v>45</v>
      </c>
      <c r="K7" s="205" t="s">
        <v>48</v>
      </c>
      <c r="L7" s="205" t="s">
        <v>45</v>
      </c>
      <c r="M7" s="205" t="s">
        <v>45</v>
      </c>
      <c r="N7" s="205" t="s">
        <v>45</v>
      </c>
      <c r="O7" s="205" t="s">
        <v>45</v>
      </c>
      <c r="P7" s="205" t="s">
        <v>45</v>
      </c>
      <c r="Q7" s="205" t="s">
        <v>45</v>
      </c>
      <c r="R7" s="205" t="s">
        <v>45</v>
      </c>
      <c r="S7" s="205" t="s">
        <v>45</v>
      </c>
      <c r="T7" s="200"/>
      <c r="U7" s="205" t="s">
        <v>49</v>
      </c>
      <c r="V7" s="205" t="s">
        <v>50</v>
      </c>
      <c r="W7" s="205" t="s">
        <v>50</v>
      </c>
      <c r="X7" s="205" t="s">
        <v>51</v>
      </c>
      <c r="Y7" s="205" t="s">
        <v>50</v>
      </c>
      <c r="Z7" s="200"/>
      <c r="AA7" s="202" t="s">
        <v>52</v>
      </c>
      <c r="AB7" s="212" t="s">
        <v>53</v>
      </c>
      <c r="AC7" s="115" t="s">
        <v>45</v>
      </c>
      <c r="AD7" s="200"/>
      <c r="AE7" s="202" t="s">
        <v>54</v>
      </c>
    </row>
    <row r="8" spans="1:31" s="220" customFormat="1" ht="15" x14ac:dyDescent="0.25">
      <c r="A8" s="216"/>
      <c r="B8" s="217"/>
      <c r="C8" s="216"/>
      <c r="D8" s="51"/>
      <c r="E8" s="218"/>
      <c r="F8" s="51"/>
      <c r="G8" s="216"/>
      <c r="H8" s="219"/>
      <c r="I8" s="221"/>
      <c r="J8" s="51" t="s">
        <v>796</v>
      </c>
      <c r="K8" s="53" t="s">
        <v>446</v>
      </c>
      <c r="L8" s="51" t="s">
        <v>736</v>
      </c>
      <c r="M8" s="51" t="s">
        <v>744</v>
      </c>
      <c r="N8" s="51"/>
      <c r="O8" s="51"/>
      <c r="P8" s="51"/>
      <c r="Q8" s="51"/>
      <c r="R8" s="51"/>
      <c r="S8" s="51"/>
      <c r="T8" s="216"/>
      <c r="U8" s="258" t="s">
        <v>929</v>
      </c>
      <c r="V8" s="53" t="s">
        <v>767</v>
      </c>
      <c r="W8" s="236"/>
      <c r="X8" s="236"/>
      <c r="Y8" s="236"/>
      <c r="Z8" s="216"/>
      <c r="AA8" s="53" t="s">
        <v>777</v>
      </c>
      <c r="AB8" s="53" t="s">
        <v>778</v>
      </c>
      <c r="AC8" s="53" t="s">
        <v>730</v>
      </c>
      <c r="AD8" s="216"/>
      <c r="AE8" s="51" t="str">
        <f>Dokumente!$H$8</f>
        <v>Dokumenttypenkatalog</v>
      </c>
    </row>
    <row r="9" spans="1:31" s="220" customFormat="1" ht="38.25" x14ac:dyDescent="0.25">
      <c r="A9" s="216"/>
      <c r="B9" s="217"/>
      <c r="C9" s="216"/>
      <c r="D9" s="51"/>
      <c r="E9" s="218"/>
      <c r="F9" s="51"/>
      <c r="G9" s="216"/>
      <c r="H9" s="219"/>
      <c r="I9" s="221"/>
      <c r="J9" s="51" t="s">
        <v>797</v>
      </c>
      <c r="K9" s="53" t="s">
        <v>446</v>
      </c>
      <c r="L9" s="51" t="s">
        <v>737</v>
      </c>
      <c r="M9" s="51" t="s">
        <v>745</v>
      </c>
      <c r="N9" s="51"/>
      <c r="O9" s="51"/>
      <c r="P9" s="51" t="s">
        <v>752</v>
      </c>
      <c r="Q9" s="51" t="s">
        <v>759</v>
      </c>
      <c r="R9" s="51"/>
      <c r="S9" s="51"/>
      <c r="T9" s="216"/>
      <c r="U9" s="220" t="s">
        <v>931</v>
      </c>
      <c r="V9" s="259" t="s">
        <v>930</v>
      </c>
      <c r="W9" s="53" t="s">
        <v>930</v>
      </c>
      <c r="X9" s="53"/>
      <c r="Y9" s="51"/>
      <c r="Z9" s="216"/>
      <c r="AA9" s="53" t="s">
        <v>777</v>
      </c>
      <c r="AB9" s="53" t="s">
        <v>778</v>
      </c>
      <c r="AC9" s="53" t="s">
        <v>730</v>
      </c>
      <c r="AD9" s="216"/>
      <c r="AE9" s="51" t="str">
        <f>Dokumente!$H$8</f>
        <v>Dokumenttypenkatalog</v>
      </c>
    </row>
    <row r="10" spans="1:31" s="220" customFormat="1" ht="25.5" x14ac:dyDescent="0.25">
      <c r="A10" s="216"/>
      <c r="B10" s="217"/>
      <c r="C10" s="216"/>
      <c r="D10" s="51"/>
      <c r="E10" s="218"/>
      <c r="F10" s="51"/>
      <c r="G10" s="216"/>
      <c r="H10" s="219"/>
      <c r="I10" s="221"/>
      <c r="J10" s="51" t="s">
        <v>798</v>
      </c>
      <c r="K10" s="53" t="s">
        <v>446</v>
      </c>
      <c r="L10" s="51" t="s">
        <v>738</v>
      </c>
      <c r="M10" s="51" t="s">
        <v>746</v>
      </c>
      <c r="N10" s="51"/>
      <c r="O10" s="51"/>
      <c r="P10" s="51" t="s">
        <v>753</v>
      </c>
      <c r="Q10" s="51" t="s">
        <v>760</v>
      </c>
      <c r="R10" s="51"/>
      <c r="S10" s="51"/>
      <c r="T10" s="216"/>
      <c r="U10" s="108" t="s">
        <v>766</v>
      </c>
      <c r="V10" s="53" t="s">
        <v>768</v>
      </c>
      <c r="W10" s="53" t="s">
        <v>768</v>
      </c>
      <c r="X10" s="53" t="s">
        <v>769</v>
      </c>
      <c r="Y10" s="51" t="s">
        <v>772</v>
      </c>
      <c r="Z10" s="216"/>
      <c r="AA10" s="53" t="s">
        <v>777</v>
      </c>
      <c r="AB10" s="53" t="s">
        <v>778</v>
      </c>
      <c r="AC10" s="53" t="s">
        <v>730</v>
      </c>
      <c r="AD10" s="216"/>
      <c r="AE10" s="51" t="str">
        <f>Dokumente!$H$8</f>
        <v>Dokumenttypenkatalog</v>
      </c>
    </row>
    <row r="11" spans="1:31" s="220" customFormat="1" ht="51" x14ac:dyDescent="0.25">
      <c r="A11" s="216"/>
      <c r="B11" s="217"/>
      <c r="C11" s="216"/>
      <c r="D11" s="51"/>
      <c r="E11" s="218"/>
      <c r="F11" s="51"/>
      <c r="G11" s="216"/>
      <c r="H11" s="219"/>
      <c r="I11" s="221"/>
      <c r="J11" s="51" t="s">
        <v>799</v>
      </c>
      <c r="K11" s="53" t="s">
        <v>446</v>
      </c>
      <c r="L11" s="51" t="s">
        <v>739</v>
      </c>
      <c r="M11" s="51" t="s">
        <v>747</v>
      </c>
      <c r="N11" s="54"/>
      <c r="O11" s="54"/>
      <c r="P11" s="51" t="s">
        <v>754</v>
      </c>
      <c r="Q11" s="51" t="s">
        <v>761</v>
      </c>
      <c r="R11" s="51"/>
      <c r="S11" s="51"/>
      <c r="T11" s="216"/>
      <c r="U11" s="108" t="s">
        <v>766</v>
      </c>
      <c r="V11" s="53" t="s">
        <v>768</v>
      </c>
      <c r="W11" s="53" t="s">
        <v>768</v>
      </c>
      <c r="X11" s="53" t="s">
        <v>769</v>
      </c>
      <c r="Y11" s="51" t="s">
        <v>773</v>
      </c>
      <c r="Z11" s="216"/>
      <c r="AA11" s="53" t="s">
        <v>777</v>
      </c>
      <c r="AB11" s="53" t="s">
        <v>778</v>
      </c>
      <c r="AC11" s="53" t="s">
        <v>730</v>
      </c>
      <c r="AD11" s="216"/>
      <c r="AE11" s="51" t="str">
        <f>Dokumente!$H$8</f>
        <v>Dokumenttypenkatalog</v>
      </c>
    </row>
    <row r="12" spans="1:31" s="220" customFormat="1" ht="38.25" x14ac:dyDescent="0.25">
      <c r="A12" s="216"/>
      <c r="B12" s="217"/>
      <c r="C12" s="216"/>
      <c r="D12" s="51"/>
      <c r="E12" s="218"/>
      <c r="F12" s="51"/>
      <c r="G12" s="216"/>
      <c r="H12" s="219"/>
      <c r="I12" s="221"/>
      <c r="J12" s="51" t="s">
        <v>800</v>
      </c>
      <c r="K12" s="53" t="s">
        <v>446</v>
      </c>
      <c r="L12" s="51" t="s">
        <v>740</v>
      </c>
      <c r="M12" s="51" t="s">
        <v>748</v>
      </c>
      <c r="N12" s="51"/>
      <c r="O12" s="51"/>
      <c r="P12" s="51" t="s">
        <v>755</v>
      </c>
      <c r="Q12" s="51" t="s">
        <v>762</v>
      </c>
      <c r="R12" s="51"/>
      <c r="S12" s="51"/>
      <c r="T12" s="216"/>
      <c r="U12" s="108" t="s">
        <v>766</v>
      </c>
      <c r="V12" s="53" t="s">
        <v>768</v>
      </c>
      <c r="W12" s="53" t="s">
        <v>768</v>
      </c>
      <c r="X12" s="53" t="s">
        <v>770</v>
      </c>
      <c r="Y12" s="51"/>
      <c r="Z12" s="216"/>
      <c r="AA12" s="53" t="s">
        <v>777</v>
      </c>
      <c r="AB12" s="53" t="s">
        <v>778</v>
      </c>
      <c r="AC12" s="53" t="s">
        <v>730</v>
      </c>
      <c r="AD12" s="216"/>
      <c r="AE12" s="51" t="str">
        <f>Dokumente!$H$8</f>
        <v>Dokumenttypenkatalog</v>
      </c>
    </row>
    <row r="13" spans="1:31" s="220" customFormat="1" ht="38.25" x14ac:dyDescent="0.25">
      <c r="A13" s="216"/>
      <c r="B13" s="217"/>
      <c r="C13" s="216"/>
      <c r="D13" s="51"/>
      <c r="E13" s="218"/>
      <c r="F13" s="51"/>
      <c r="G13" s="216"/>
      <c r="H13" s="219"/>
      <c r="I13" s="221"/>
      <c r="J13" s="51" t="s">
        <v>801</v>
      </c>
      <c r="K13" s="53" t="s">
        <v>446</v>
      </c>
      <c r="L13" s="54" t="s">
        <v>741</v>
      </c>
      <c r="M13" s="54" t="s">
        <v>749</v>
      </c>
      <c r="N13" s="54"/>
      <c r="O13" s="54"/>
      <c r="P13" s="51" t="s">
        <v>756</v>
      </c>
      <c r="Q13" s="51" t="s">
        <v>763</v>
      </c>
      <c r="R13" s="51"/>
      <c r="S13" s="51"/>
      <c r="T13" s="216"/>
      <c r="U13" s="108" t="s">
        <v>766</v>
      </c>
      <c r="V13" s="53" t="s">
        <v>768</v>
      </c>
      <c r="W13" s="53" t="s">
        <v>768</v>
      </c>
      <c r="X13" s="53" t="s">
        <v>769</v>
      </c>
      <c r="Y13" s="51" t="s">
        <v>774</v>
      </c>
      <c r="Z13" s="216"/>
      <c r="AA13" s="53" t="s">
        <v>777</v>
      </c>
      <c r="AB13" s="53" t="s">
        <v>778</v>
      </c>
      <c r="AC13" s="53" t="s">
        <v>730</v>
      </c>
      <c r="AD13" s="216"/>
      <c r="AE13" s="51" t="str">
        <f>Dokumente!$H$8</f>
        <v>Dokumenttypenkatalog</v>
      </c>
    </row>
    <row r="14" spans="1:31" s="220" customFormat="1" ht="51" x14ac:dyDescent="0.25">
      <c r="A14" s="216"/>
      <c r="B14" s="217"/>
      <c r="C14" s="216"/>
      <c r="D14" s="51"/>
      <c r="E14" s="218"/>
      <c r="F14" s="51"/>
      <c r="G14" s="216"/>
      <c r="H14" s="219"/>
      <c r="I14" s="221"/>
      <c r="J14" s="51" t="s">
        <v>802</v>
      </c>
      <c r="K14" s="53" t="s">
        <v>446</v>
      </c>
      <c r="L14" s="51" t="s">
        <v>742</v>
      </c>
      <c r="M14" s="51" t="s">
        <v>750</v>
      </c>
      <c r="N14" s="51"/>
      <c r="O14" s="51"/>
      <c r="P14" s="51" t="s">
        <v>757</v>
      </c>
      <c r="Q14" s="51" t="s">
        <v>764</v>
      </c>
      <c r="R14" s="51"/>
      <c r="S14" s="51"/>
      <c r="T14" s="216"/>
      <c r="U14" s="108" t="s">
        <v>766</v>
      </c>
      <c r="V14" s="53" t="s">
        <v>768</v>
      </c>
      <c r="W14" s="53" t="s">
        <v>768</v>
      </c>
      <c r="X14" s="53" t="s">
        <v>769</v>
      </c>
      <c r="Y14" s="51" t="s">
        <v>775</v>
      </c>
      <c r="Z14" s="216"/>
      <c r="AA14" s="53" t="s">
        <v>777</v>
      </c>
      <c r="AB14" s="53" t="s">
        <v>778</v>
      </c>
      <c r="AC14" s="53" t="s">
        <v>730</v>
      </c>
      <c r="AD14" s="216"/>
      <c r="AE14" s="51" t="str">
        <f>Dokumente!$H$8</f>
        <v>Dokumenttypenkatalog</v>
      </c>
    </row>
    <row r="15" spans="1:31" s="220" customFormat="1" ht="51" x14ac:dyDescent="0.25">
      <c r="A15" s="216"/>
      <c r="B15" s="217"/>
      <c r="C15" s="216"/>
      <c r="D15" s="51"/>
      <c r="E15" s="218"/>
      <c r="F15" s="51"/>
      <c r="G15" s="216"/>
      <c r="H15" s="219"/>
      <c r="I15" s="221"/>
      <c r="J15" s="51" t="s">
        <v>803</v>
      </c>
      <c r="K15" s="53" t="s">
        <v>446</v>
      </c>
      <c r="L15" s="54" t="s">
        <v>743</v>
      </c>
      <c r="M15" s="54" t="s">
        <v>751</v>
      </c>
      <c r="N15" s="51"/>
      <c r="O15" s="51"/>
      <c r="P15" s="51" t="s">
        <v>758</v>
      </c>
      <c r="Q15" s="51" t="s">
        <v>765</v>
      </c>
      <c r="R15" s="51"/>
      <c r="S15" s="51"/>
      <c r="T15" s="216"/>
      <c r="U15" s="108" t="s">
        <v>766</v>
      </c>
      <c r="V15" s="53" t="s">
        <v>768</v>
      </c>
      <c r="W15" s="53" t="s">
        <v>768</v>
      </c>
      <c r="X15" s="53" t="s">
        <v>771</v>
      </c>
      <c r="Y15" s="51"/>
      <c r="Z15" s="216"/>
      <c r="AA15" s="53" t="s">
        <v>777</v>
      </c>
      <c r="AB15" s="53" t="s">
        <v>778</v>
      </c>
      <c r="AC15" s="53" t="s">
        <v>730</v>
      </c>
      <c r="AD15" s="216"/>
      <c r="AE15" s="51" t="str">
        <f>Dokumente!$H$8</f>
        <v>Dokumenttypenkatalog</v>
      </c>
    </row>
    <row r="16" spans="1:31" s="220" customFormat="1" ht="12.75" x14ac:dyDescent="0.25">
      <c r="A16" s="216"/>
      <c r="B16" s="217"/>
      <c r="C16" s="216"/>
      <c r="D16" s="51"/>
      <c r="E16" s="218"/>
      <c r="F16" s="51"/>
      <c r="G16" s="216"/>
      <c r="H16" s="219"/>
      <c r="I16" s="51"/>
      <c r="J16" s="51"/>
      <c r="K16" s="51"/>
      <c r="L16" s="51"/>
      <c r="M16" s="51"/>
      <c r="N16" s="51"/>
      <c r="O16" s="51"/>
      <c r="P16" s="51"/>
      <c r="Q16" s="51"/>
      <c r="R16" s="51"/>
      <c r="S16" s="51"/>
      <c r="T16" s="216"/>
      <c r="U16" s="108" t="s">
        <v>766</v>
      </c>
      <c r="V16" s="53" t="s">
        <v>768</v>
      </c>
      <c r="W16" s="53" t="s">
        <v>768</v>
      </c>
      <c r="X16" s="53" t="s">
        <v>769</v>
      </c>
      <c r="Y16" s="51" t="s">
        <v>776</v>
      </c>
      <c r="Z16" s="216"/>
      <c r="AA16" s="53" t="s">
        <v>777</v>
      </c>
      <c r="AB16" s="53" t="s">
        <v>778</v>
      </c>
      <c r="AC16" s="53" t="s">
        <v>730</v>
      </c>
      <c r="AD16" s="216"/>
      <c r="AE16" s="51" t="str">
        <f>Dokumente!$H$8</f>
        <v>Dokumenttypenkatalog</v>
      </c>
    </row>
    <row r="17" spans="1:31" s="220" customFormat="1" ht="12.75" x14ac:dyDescent="0.25">
      <c r="A17" s="216"/>
      <c r="B17" s="217"/>
      <c r="C17" s="216"/>
      <c r="D17" s="51"/>
      <c r="E17" s="218"/>
      <c r="F17" s="51"/>
      <c r="G17" s="216"/>
      <c r="H17" s="219"/>
      <c r="I17" s="51"/>
      <c r="J17" s="51"/>
      <c r="K17" s="51"/>
      <c r="L17" s="54"/>
      <c r="M17" s="54"/>
      <c r="N17" s="54"/>
      <c r="O17" s="54"/>
      <c r="P17" s="51"/>
      <c r="Q17" s="51"/>
      <c r="R17" s="51"/>
      <c r="S17" s="51"/>
      <c r="T17" s="216"/>
      <c r="U17" s="215"/>
      <c r="V17" s="51"/>
      <c r="W17" s="51"/>
      <c r="X17" s="51"/>
      <c r="Y17" s="51"/>
      <c r="Z17" s="216"/>
      <c r="AA17" s="51"/>
      <c r="AB17" s="51"/>
      <c r="AC17" s="51"/>
      <c r="AD17" s="216"/>
      <c r="AE17" s="51"/>
    </row>
    <row r="18" spans="1:31" s="220" customFormat="1" ht="12.75" x14ac:dyDescent="0.25">
      <c r="A18" s="216"/>
      <c r="B18" s="217"/>
      <c r="C18" s="216"/>
      <c r="D18" s="51"/>
      <c r="E18" s="218"/>
      <c r="F18" s="51"/>
      <c r="G18" s="216"/>
      <c r="H18" s="219"/>
      <c r="I18" s="51"/>
      <c r="J18" s="51"/>
      <c r="K18" s="51"/>
      <c r="L18" s="51"/>
      <c r="M18" s="51"/>
      <c r="N18" s="51"/>
      <c r="O18" s="51"/>
      <c r="P18" s="51"/>
      <c r="Q18" s="51"/>
      <c r="R18" s="51"/>
      <c r="S18" s="51"/>
      <c r="T18" s="216"/>
      <c r="U18" s="215"/>
      <c r="V18" s="51"/>
      <c r="W18" s="51"/>
      <c r="X18" s="51"/>
      <c r="Y18" s="51"/>
      <c r="Z18" s="216"/>
      <c r="AA18" s="51"/>
      <c r="AB18" s="51"/>
      <c r="AC18" s="51"/>
      <c r="AD18" s="216"/>
      <c r="AE18" s="51"/>
    </row>
    <row r="19" spans="1:31" s="220" customFormat="1" ht="12.75" x14ac:dyDescent="0.25">
      <c r="A19" s="216"/>
      <c r="B19" s="217"/>
      <c r="C19" s="216"/>
      <c r="D19" s="51"/>
      <c r="E19" s="218"/>
      <c r="F19" s="51"/>
      <c r="G19" s="216"/>
      <c r="H19" s="219"/>
      <c r="I19" s="51"/>
      <c r="J19" s="51"/>
      <c r="K19" s="51"/>
      <c r="L19" s="54"/>
      <c r="M19" s="54"/>
      <c r="N19" s="54"/>
      <c r="O19" s="54"/>
      <c r="P19" s="51"/>
      <c r="Q19" s="51"/>
      <c r="R19" s="51"/>
      <c r="S19" s="51"/>
      <c r="T19" s="216"/>
      <c r="U19" s="215"/>
      <c r="V19" s="51"/>
      <c r="W19" s="51"/>
      <c r="X19" s="51"/>
      <c r="Y19" s="51"/>
      <c r="Z19" s="216"/>
      <c r="AA19" s="51"/>
      <c r="AB19" s="51"/>
      <c r="AC19" s="51"/>
      <c r="AD19" s="216"/>
      <c r="AE19" s="51"/>
    </row>
    <row r="20" spans="1:31" s="220" customFormat="1" ht="12.75" x14ac:dyDescent="0.25">
      <c r="A20" s="216"/>
      <c r="B20" s="217"/>
      <c r="C20" s="216"/>
      <c r="D20" s="51"/>
      <c r="E20" s="218"/>
      <c r="F20" s="51"/>
      <c r="G20" s="216"/>
      <c r="H20" s="219"/>
      <c r="I20" s="51"/>
      <c r="J20" s="51"/>
      <c r="K20" s="51"/>
      <c r="L20" s="51"/>
      <c r="M20" s="51"/>
      <c r="N20" s="51"/>
      <c r="O20" s="51"/>
      <c r="P20" s="51"/>
      <c r="Q20" s="51"/>
      <c r="R20" s="51"/>
      <c r="S20" s="51"/>
      <c r="T20" s="216"/>
      <c r="U20" s="215"/>
      <c r="V20" s="51"/>
      <c r="W20" s="51"/>
      <c r="X20" s="51"/>
      <c r="Y20" s="51"/>
      <c r="Z20" s="216"/>
      <c r="AA20" s="51"/>
      <c r="AB20" s="51"/>
      <c r="AC20" s="51"/>
      <c r="AD20" s="216"/>
      <c r="AE20" s="51"/>
    </row>
    <row r="21" spans="1:31" s="220" customFormat="1" ht="12.75" x14ac:dyDescent="0.25">
      <c r="A21" s="216"/>
      <c r="B21" s="217"/>
      <c r="C21" s="216"/>
      <c r="D21" s="51"/>
      <c r="E21" s="218"/>
      <c r="F21" s="51"/>
      <c r="G21" s="216"/>
      <c r="H21" s="219"/>
      <c r="I21" s="51"/>
      <c r="J21" s="51"/>
      <c r="K21" s="51"/>
      <c r="L21" s="51"/>
      <c r="M21" s="51"/>
      <c r="N21" s="51"/>
      <c r="O21" s="51"/>
      <c r="P21" s="51"/>
      <c r="Q21" s="51"/>
      <c r="R21" s="51"/>
      <c r="S21" s="51"/>
      <c r="T21" s="216"/>
      <c r="U21" s="215"/>
      <c r="V21" s="51"/>
      <c r="W21" s="51"/>
      <c r="X21" s="51"/>
      <c r="Y21" s="51"/>
      <c r="Z21" s="216"/>
      <c r="AA21" s="51"/>
      <c r="AB21" s="51"/>
      <c r="AC21" s="51"/>
      <c r="AD21" s="216"/>
      <c r="AE21" s="51"/>
    </row>
    <row r="22" spans="1:31" s="220" customFormat="1" ht="12.75" x14ac:dyDescent="0.25">
      <c r="A22" s="216"/>
      <c r="B22" s="217"/>
      <c r="C22" s="216"/>
      <c r="D22" s="51"/>
      <c r="E22" s="218"/>
      <c r="F22" s="51"/>
      <c r="G22" s="216"/>
      <c r="H22" s="219"/>
      <c r="I22" s="51"/>
      <c r="J22" s="51"/>
      <c r="K22" s="51"/>
      <c r="L22" s="51"/>
      <c r="M22" s="51"/>
      <c r="N22" s="51"/>
      <c r="O22" s="51"/>
      <c r="P22" s="51"/>
      <c r="Q22" s="51"/>
      <c r="R22" s="51"/>
      <c r="S22" s="51"/>
      <c r="T22" s="216"/>
      <c r="U22" s="215"/>
      <c r="V22" s="51"/>
      <c r="W22" s="51"/>
      <c r="X22" s="51"/>
      <c r="Y22" s="51"/>
      <c r="Z22" s="216"/>
      <c r="AA22" s="51"/>
      <c r="AB22" s="51"/>
      <c r="AC22" s="51"/>
      <c r="AD22" s="216"/>
      <c r="AE22" s="51"/>
    </row>
    <row r="23" spans="1:31" s="220" customFormat="1" ht="12.75" x14ac:dyDescent="0.25">
      <c r="A23" s="216"/>
      <c r="B23" s="217"/>
      <c r="C23" s="216"/>
      <c r="D23" s="51"/>
      <c r="E23" s="218"/>
      <c r="F23" s="51"/>
      <c r="G23" s="216"/>
      <c r="H23" s="219"/>
      <c r="I23" s="51"/>
      <c r="J23" s="51"/>
      <c r="K23" s="51"/>
      <c r="L23" s="54"/>
      <c r="M23" s="54"/>
      <c r="N23" s="54"/>
      <c r="O23" s="54"/>
      <c r="P23" s="51"/>
      <c r="Q23" s="51"/>
      <c r="R23" s="51"/>
      <c r="S23" s="51"/>
      <c r="T23" s="216"/>
      <c r="U23" s="215"/>
      <c r="V23" s="51"/>
      <c r="W23" s="51"/>
      <c r="X23" s="51"/>
      <c r="Y23" s="51"/>
      <c r="Z23" s="216"/>
      <c r="AA23" s="51"/>
      <c r="AB23" s="51"/>
      <c r="AC23" s="51"/>
      <c r="AD23" s="216"/>
      <c r="AE23" s="51"/>
    </row>
    <row r="24" spans="1:31" s="220" customFormat="1" ht="12.75" x14ac:dyDescent="0.25">
      <c r="A24" s="216"/>
      <c r="B24" s="217"/>
      <c r="C24" s="216"/>
      <c r="D24" s="51"/>
      <c r="E24" s="218"/>
      <c r="F24" s="51"/>
      <c r="G24" s="216"/>
      <c r="H24" s="219"/>
      <c r="I24" s="51"/>
      <c r="J24" s="51"/>
      <c r="K24" s="51"/>
      <c r="L24" s="51"/>
      <c r="M24" s="51"/>
      <c r="N24" s="51"/>
      <c r="O24" s="51"/>
      <c r="P24" s="51"/>
      <c r="Q24" s="51"/>
      <c r="R24" s="51"/>
      <c r="S24" s="51"/>
      <c r="T24" s="216"/>
      <c r="U24" s="215"/>
      <c r="V24" s="51"/>
      <c r="W24" s="51"/>
      <c r="X24" s="51"/>
      <c r="Y24" s="51"/>
      <c r="Z24" s="216"/>
      <c r="AA24" s="51"/>
      <c r="AB24" s="51"/>
      <c r="AC24" s="51"/>
      <c r="AD24" s="216"/>
      <c r="AE24" s="51"/>
    </row>
    <row r="25" spans="1:31" s="220" customFormat="1" ht="12.75" x14ac:dyDescent="0.25">
      <c r="A25" s="216"/>
      <c r="B25" s="217"/>
      <c r="C25" s="216"/>
      <c r="D25" s="51"/>
      <c r="E25" s="218"/>
      <c r="F25" s="51"/>
      <c r="G25" s="216"/>
      <c r="H25" s="219"/>
      <c r="I25" s="51"/>
      <c r="J25" s="51"/>
      <c r="K25" s="51"/>
      <c r="L25" s="54"/>
      <c r="M25" s="54"/>
      <c r="N25" s="54"/>
      <c r="O25" s="54"/>
      <c r="P25" s="51"/>
      <c r="Q25" s="51"/>
      <c r="R25" s="51"/>
      <c r="S25" s="51"/>
      <c r="T25" s="216"/>
      <c r="U25" s="215"/>
      <c r="V25" s="51"/>
      <c r="W25" s="51"/>
      <c r="X25" s="51"/>
      <c r="Y25" s="51"/>
      <c r="Z25" s="216"/>
      <c r="AA25" s="51"/>
      <c r="AB25" s="51"/>
      <c r="AC25" s="51"/>
      <c r="AD25" s="216"/>
      <c r="AE25" s="51"/>
    </row>
  </sheetData>
  <phoneticPr fontId="31" type="noConversion"/>
  <dataValidations xWindow="1091" yWindow="456" count="3">
    <dataValidation type="list" allowBlank="1" sqref="K2:K7 K16:K2000" xr:uid="{00000000-0002-0000-0400-000000000000}">
      <formula1>Objekt_Einordnung</formula1>
    </dataValidation>
    <dataValidation type="date" operator="greaterThanOrEqual" sqref="AB17:AB1997" xr:uid="{00000000-0002-0000-0400-000001000000}">
      <formula1>DATE(2000,1,1)</formula1>
    </dataValidation>
    <dataValidation type="list" allowBlank="1" sqref="AA17:AA2000" xr:uid="{00000000-0002-0000-0400-000002000000}">
      <formula1>Status</formula1>
    </dataValidation>
  </dataValidations>
  <hyperlinks>
    <hyperlink ref="U8" r:id="rId1" xr:uid="{DC0E5FBA-40FE-4B9F-8030-F1812A9362D4}"/>
  </hyperlink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D357"/>
  <sheetViews>
    <sheetView showGridLines="0" topLeftCell="P1" zoomScaleNormal="100" workbookViewId="0">
      <selection activeCell="S8" sqref="S8"/>
    </sheetView>
  </sheetViews>
  <sheetFormatPr baseColWidth="10" defaultColWidth="11.42578125" defaultRowHeight="28.9" customHeight="1" outlineLevelCol="1" x14ac:dyDescent="0.2"/>
  <cols>
    <col min="1" max="1" width="3.7109375" style="107" customWidth="1"/>
    <col min="2" max="2" width="25.7109375" style="63" customWidth="1" outlineLevel="1"/>
    <col min="3" max="3" width="3.7109375" style="104" customWidth="1"/>
    <col min="4" max="7" width="20.7109375" style="64" customWidth="1" outlineLevel="1"/>
    <col min="8" max="8" width="20.7109375" style="65" customWidth="1" outlineLevel="1"/>
    <col min="9" max="9" width="6" style="65" customWidth="1" outlineLevel="1"/>
    <col min="10" max="10" width="5.5703125" style="65" customWidth="1" outlineLevel="1"/>
    <col min="11" max="12" width="49.42578125" style="65" customWidth="1" outlineLevel="1"/>
    <col min="13" max="14" width="6" style="64" customWidth="1" outlineLevel="1"/>
    <col min="15" max="15" width="18.42578125" style="64" customWidth="1" outlineLevel="1"/>
    <col min="16" max="16" width="33.140625" style="104" bestFit="1" customWidth="1"/>
    <col min="17" max="17" width="10.7109375" style="64" customWidth="1" outlineLevel="1"/>
    <col min="18" max="18" width="6.5703125" style="64" customWidth="1" outlineLevel="1"/>
    <col min="19" max="19" width="28.85546875" style="104" customWidth="1"/>
    <col min="20" max="20" width="20.85546875" style="63" customWidth="1" outlineLevel="1"/>
    <col min="21" max="21" width="25.7109375" style="63" customWidth="1" outlineLevel="1"/>
    <col min="22" max="22" width="18.5703125" style="63" customWidth="1" outlineLevel="1"/>
    <col min="23" max="27" width="11.42578125" style="64" customWidth="1"/>
    <col min="28" max="16384" width="11.42578125" style="64"/>
  </cols>
  <sheetData>
    <row r="1" spans="1:30" s="38" customFormat="1" ht="120" customHeight="1" x14ac:dyDescent="0.25">
      <c r="A1" s="106" t="s">
        <v>0</v>
      </c>
      <c r="B1" s="93" t="s">
        <v>1</v>
      </c>
      <c r="C1" s="105" t="s">
        <v>117</v>
      </c>
      <c r="D1" s="114" t="s">
        <v>7</v>
      </c>
      <c r="E1" s="237" t="s">
        <v>193</v>
      </c>
      <c r="F1" s="114" t="s">
        <v>336</v>
      </c>
      <c r="G1" s="114" t="s">
        <v>11</v>
      </c>
      <c r="H1" s="114" t="s">
        <v>12</v>
      </c>
      <c r="I1" s="185" t="s">
        <v>13</v>
      </c>
      <c r="J1" s="185" t="s">
        <v>14</v>
      </c>
      <c r="K1" s="114" t="s">
        <v>15</v>
      </c>
      <c r="L1" s="114" t="s">
        <v>16</v>
      </c>
      <c r="M1" s="185" t="s">
        <v>17</v>
      </c>
      <c r="N1" s="185" t="s">
        <v>18</v>
      </c>
      <c r="O1" s="114" t="s">
        <v>337</v>
      </c>
      <c r="P1" s="114" t="s">
        <v>338</v>
      </c>
      <c r="Q1" s="114" t="s">
        <v>198</v>
      </c>
      <c r="R1" s="105" t="s">
        <v>19</v>
      </c>
      <c r="S1" s="93" t="s">
        <v>339</v>
      </c>
      <c r="T1" s="93" t="s">
        <v>340</v>
      </c>
      <c r="U1" s="240" t="s">
        <v>341</v>
      </c>
      <c r="V1" s="93" t="s">
        <v>342</v>
      </c>
      <c r="W1" s="93" t="s">
        <v>343</v>
      </c>
      <c r="X1" s="93" t="s">
        <v>344</v>
      </c>
      <c r="Y1" s="239" t="s">
        <v>345</v>
      </c>
      <c r="Z1" s="239" t="s">
        <v>346</v>
      </c>
      <c r="AA1" s="101" t="s">
        <v>347</v>
      </c>
      <c r="AB1" s="114" t="s">
        <v>26</v>
      </c>
      <c r="AC1" s="114" t="s">
        <v>27</v>
      </c>
      <c r="AD1" s="93" t="s">
        <v>28</v>
      </c>
    </row>
    <row r="2" spans="1:30" s="92" customFormat="1" ht="12.75" customHeight="1" x14ac:dyDescent="0.25">
      <c r="A2" s="103"/>
      <c r="B2" s="113" t="s">
        <v>31</v>
      </c>
      <c r="C2" s="103"/>
      <c r="D2" s="115"/>
      <c r="E2" s="115"/>
      <c r="F2" s="60"/>
      <c r="G2" s="60"/>
      <c r="H2" s="59"/>
      <c r="I2" s="59"/>
      <c r="J2" s="59"/>
      <c r="K2" s="60"/>
      <c r="L2" s="59"/>
      <c r="M2" s="59"/>
      <c r="N2" s="59"/>
      <c r="O2" s="59"/>
      <c r="P2" s="59"/>
      <c r="Q2" s="59"/>
      <c r="R2" s="103"/>
      <c r="S2" s="59"/>
      <c r="T2" s="59"/>
      <c r="U2" s="59"/>
      <c r="V2" s="59"/>
      <c r="W2" s="59"/>
      <c r="X2" s="59"/>
      <c r="Y2" s="59"/>
      <c r="Z2" s="59"/>
      <c r="AA2" s="102"/>
      <c r="AB2" s="110"/>
      <c r="AC2" s="60"/>
      <c r="AD2" s="59"/>
    </row>
    <row r="3" spans="1:30" s="30" customFormat="1" ht="13.5" customHeight="1" x14ac:dyDescent="0.25">
      <c r="A3" s="103"/>
      <c r="B3" s="113" t="s">
        <v>32</v>
      </c>
      <c r="C3" s="103"/>
      <c r="D3" s="115"/>
      <c r="E3" s="115"/>
      <c r="F3" s="60"/>
      <c r="G3" s="60"/>
      <c r="H3" s="59"/>
      <c r="I3" s="59"/>
      <c r="J3" s="59"/>
      <c r="K3" s="60"/>
      <c r="L3" s="59"/>
      <c r="M3" s="59"/>
      <c r="N3" s="59"/>
      <c r="O3" s="59"/>
      <c r="P3" s="59"/>
      <c r="Q3" s="59"/>
      <c r="R3" s="103"/>
      <c r="S3" s="59"/>
      <c r="T3" s="59"/>
      <c r="U3" s="59"/>
      <c r="V3" s="59"/>
      <c r="W3" s="59"/>
      <c r="X3" s="59"/>
      <c r="Y3" s="59"/>
      <c r="Z3" s="59"/>
      <c r="AA3" s="102"/>
      <c r="AB3" s="110"/>
      <c r="AC3" s="60"/>
      <c r="AD3" s="59"/>
    </row>
    <row r="4" spans="1:30" s="30" customFormat="1" ht="13.5" customHeight="1" x14ac:dyDescent="0.25">
      <c r="A4" s="103"/>
      <c r="B4" s="113" t="s">
        <v>33</v>
      </c>
      <c r="C4" s="103"/>
      <c r="D4" s="115" t="s">
        <v>34</v>
      </c>
      <c r="E4" s="115" t="s">
        <v>34</v>
      </c>
      <c r="F4" s="60" t="s">
        <v>34</v>
      </c>
      <c r="G4" s="60" t="s">
        <v>35</v>
      </c>
      <c r="H4" s="59" t="s">
        <v>36</v>
      </c>
      <c r="I4" s="59" t="s">
        <v>37</v>
      </c>
      <c r="J4" s="59" t="s">
        <v>38</v>
      </c>
      <c r="K4" s="60" t="s">
        <v>35</v>
      </c>
      <c r="L4" s="59" t="s">
        <v>36</v>
      </c>
      <c r="M4" s="59" t="s">
        <v>37</v>
      </c>
      <c r="N4" s="59" t="s">
        <v>38</v>
      </c>
      <c r="O4" s="59" t="s">
        <v>34</v>
      </c>
      <c r="P4" s="59" t="s">
        <v>34</v>
      </c>
      <c r="Q4" s="59" t="s">
        <v>34</v>
      </c>
      <c r="R4" s="103"/>
      <c r="S4" s="59" t="s">
        <v>34</v>
      </c>
      <c r="T4" s="59" t="s">
        <v>34</v>
      </c>
      <c r="U4" s="59" t="s">
        <v>34</v>
      </c>
      <c r="V4" s="59" t="s">
        <v>34</v>
      </c>
      <c r="W4" s="59" t="s">
        <v>36</v>
      </c>
      <c r="X4" s="59" t="s">
        <v>35</v>
      </c>
      <c r="Y4" s="59" t="s">
        <v>37</v>
      </c>
      <c r="Z4" s="59" t="s">
        <v>38</v>
      </c>
      <c r="AA4" s="102"/>
      <c r="AB4" s="111" t="s">
        <v>34</v>
      </c>
      <c r="AC4" s="59" t="s">
        <v>34</v>
      </c>
      <c r="AD4" s="59" t="s">
        <v>34</v>
      </c>
    </row>
    <row r="5" spans="1:30" s="30" customFormat="1" ht="15" customHeight="1" x14ac:dyDescent="0.25">
      <c r="A5" s="103"/>
      <c r="B5" s="113" t="s">
        <v>39</v>
      </c>
      <c r="C5" s="103"/>
      <c r="D5" s="115" t="s">
        <v>40</v>
      </c>
      <c r="E5" s="115" t="s">
        <v>41</v>
      </c>
      <c r="F5" s="60"/>
      <c r="G5" s="60"/>
      <c r="H5" s="59"/>
      <c r="I5" s="59"/>
      <c r="J5" s="59"/>
      <c r="K5" s="60"/>
      <c r="L5" s="59"/>
      <c r="M5" s="59"/>
      <c r="N5" s="59"/>
      <c r="O5" s="59" t="s">
        <v>40</v>
      </c>
      <c r="P5" s="59" t="s">
        <v>40</v>
      </c>
      <c r="Q5" s="59" t="s">
        <v>40</v>
      </c>
      <c r="R5" s="103"/>
      <c r="S5" s="59" t="s">
        <v>40</v>
      </c>
      <c r="T5" s="59" t="s">
        <v>40</v>
      </c>
      <c r="U5" s="59"/>
      <c r="V5" s="59" t="s">
        <v>40</v>
      </c>
      <c r="W5" s="59" t="s">
        <v>41</v>
      </c>
      <c r="X5" s="59" t="s">
        <v>41</v>
      </c>
      <c r="Y5" s="59" t="s">
        <v>41</v>
      </c>
      <c r="Z5" s="59" t="s">
        <v>41</v>
      </c>
      <c r="AA5" s="102"/>
      <c r="AB5" s="111" t="s">
        <v>40</v>
      </c>
      <c r="AC5" s="59" t="s">
        <v>40</v>
      </c>
      <c r="AD5" s="59" t="s">
        <v>40</v>
      </c>
    </row>
    <row r="6" spans="1:30" s="30" customFormat="1" ht="13.5" customHeight="1" x14ac:dyDescent="0.25">
      <c r="A6" s="103"/>
      <c r="B6" s="113" t="s">
        <v>42</v>
      </c>
      <c r="C6" s="103"/>
      <c r="D6" s="115"/>
      <c r="E6" s="115"/>
      <c r="F6" s="60"/>
      <c r="G6" s="60"/>
      <c r="H6" s="59"/>
      <c r="I6" s="59"/>
      <c r="J6" s="59"/>
      <c r="K6" s="60"/>
      <c r="L6" s="59"/>
      <c r="M6" s="59"/>
      <c r="N6" s="59"/>
      <c r="O6" s="59" t="s">
        <v>348</v>
      </c>
      <c r="P6" s="59" t="s">
        <v>349</v>
      </c>
      <c r="Q6" s="59"/>
      <c r="R6" s="103"/>
      <c r="S6" s="59"/>
      <c r="T6" s="59"/>
      <c r="U6" s="59"/>
      <c r="V6" s="59"/>
      <c r="W6" s="59"/>
      <c r="X6" s="59"/>
      <c r="Y6" s="59"/>
      <c r="Z6" s="59"/>
      <c r="AA6" s="102"/>
      <c r="AB6" s="110" t="s">
        <v>26</v>
      </c>
      <c r="AC6" s="60"/>
      <c r="AD6" s="112"/>
    </row>
    <row r="7" spans="1:30" s="184" customFormat="1" ht="56.25" customHeight="1" x14ac:dyDescent="0.25">
      <c r="A7" s="198"/>
      <c r="B7" s="199" t="s">
        <v>44</v>
      </c>
      <c r="C7" s="198"/>
      <c r="D7" s="115" t="s">
        <v>46</v>
      </c>
      <c r="E7" s="115" t="s">
        <v>47</v>
      </c>
      <c r="F7" s="115" t="s">
        <v>45</v>
      </c>
      <c r="G7" s="115" t="s">
        <v>45</v>
      </c>
      <c r="H7" s="205" t="s">
        <v>45</v>
      </c>
      <c r="I7" s="205" t="s">
        <v>45</v>
      </c>
      <c r="J7" s="205" t="s">
        <v>45</v>
      </c>
      <c r="K7" s="115" t="s">
        <v>45</v>
      </c>
      <c r="L7" s="205" t="s">
        <v>45</v>
      </c>
      <c r="M7" s="205" t="s">
        <v>45</v>
      </c>
      <c r="N7" s="205" t="s">
        <v>45</v>
      </c>
      <c r="O7" s="205" t="s">
        <v>350</v>
      </c>
      <c r="P7" s="205" t="s">
        <v>351</v>
      </c>
      <c r="Q7" s="223" t="s">
        <v>352</v>
      </c>
      <c r="R7" s="198"/>
      <c r="S7" s="205" t="s">
        <v>49</v>
      </c>
      <c r="T7" s="205" t="s">
        <v>353</v>
      </c>
      <c r="U7" s="205" t="s">
        <v>45</v>
      </c>
      <c r="V7" s="205" t="s">
        <v>354</v>
      </c>
      <c r="W7" s="205" t="s">
        <v>355</v>
      </c>
      <c r="X7" s="205" t="s">
        <v>355</v>
      </c>
      <c r="Y7" s="205" t="s">
        <v>355</v>
      </c>
      <c r="Z7" s="205" t="s">
        <v>355</v>
      </c>
      <c r="AA7" s="200"/>
      <c r="AB7" s="202" t="s">
        <v>52</v>
      </c>
      <c r="AC7" s="212" t="s">
        <v>53</v>
      </c>
      <c r="AD7" s="203" t="s">
        <v>45</v>
      </c>
    </row>
    <row r="8" spans="1:30" s="61" customFormat="1" ht="13.5" x14ac:dyDescent="0.25">
      <c r="A8" s="103"/>
      <c r="C8" s="103"/>
      <c r="D8" s="206"/>
      <c r="E8" s="54"/>
      <c r="F8" s="54" t="s">
        <v>804</v>
      </c>
      <c r="G8" s="39" t="s">
        <v>519</v>
      </c>
      <c r="H8" s="39" t="s">
        <v>23</v>
      </c>
      <c r="I8" s="62"/>
      <c r="J8" s="62"/>
      <c r="K8" s="39" t="s">
        <v>936</v>
      </c>
      <c r="L8" s="39" t="s">
        <v>938</v>
      </c>
      <c r="M8" s="54"/>
      <c r="N8" s="54"/>
      <c r="O8" s="39" t="s">
        <v>441</v>
      </c>
      <c r="P8" s="39" t="s">
        <v>475</v>
      </c>
      <c r="Q8" s="54"/>
      <c r="R8" s="103"/>
      <c r="S8" s="116"/>
      <c r="T8" s="209" t="s">
        <v>720</v>
      </c>
      <c r="U8" s="52"/>
      <c r="V8" s="222"/>
      <c r="W8" s="222"/>
      <c r="X8" s="222"/>
      <c r="Y8" s="222"/>
      <c r="Z8" s="222"/>
      <c r="AA8" s="103"/>
      <c r="AB8" s="53" t="s">
        <v>434</v>
      </c>
      <c r="AC8" s="53"/>
      <c r="AD8" s="53" t="s">
        <v>730</v>
      </c>
    </row>
    <row r="9" spans="1:30" s="61" customFormat="1" ht="13.5" x14ac:dyDescent="0.25">
      <c r="A9" s="103"/>
      <c r="C9" s="103"/>
      <c r="D9" s="206"/>
      <c r="E9" s="54"/>
      <c r="F9" s="54" t="s">
        <v>805</v>
      </c>
      <c r="G9" s="39" t="s">
        <v>520</v>
      </c>
      <c r="H9" s="39" t="s">
        <v>24</v>
      </c>
      <c r="I9" s="62"/>
      <c r="J9" s="62"/>
      <c r="K9" s="39" t="s">
        <v>937</v>
      </c>
      <c r="L9" s="39" t="s">
        <v>939</v>
      </c>
      <c r="M9" s="54"/>
      <c r="N9" s="54"/>
      <c r="O9" s="39" t="s">
        <v>441</v>
      </c>
      <c r="P9" s="39" t="s">
        <v>475</v>
      </c>
      <c r="R9" s="103"/>
      <c r="S9" s="116"/>
      <c r="T9" s="209" t="s">
        <v>721</v>
      </c>
      <c r="U9" s="52"/>
      <c r="V9" s="222"/>
      <c r="W9" s="222"/>
      <c r="X9" s="222"/>
      <c r="Y9" s="222"/>
      <c r="Z9" s="222"/>
      <c r="AA9" s="103"/>
      <c r="AB9" s="53"/>
      <c r="AC9" s="53"/>
      <c r="AD9" s="53"/>
    </row>
    <row r="10" spans="1:30" s="61" customFormat="1" ht="25.5" x14ac:dyDescent="0.25">
      <c r="A10" s="103"/>
      <c r="C10" s="103"/>
      <c r="D10" s="206"/>
      <c r="E10" s="238"/>
      <c r="F10" s="54" t="s">
        <v>806</v>
      </c>
      <c r="G10" s="39" t="s">
        <v>521</v>
      </c>
      <c r="H10" s="39" t="s">
        <v>179</v>
      </c>
      <c r="I10" s="62"/>
      <c r="J10" s="62"/>
      <c r="K10" s="71" t="s">
        <v>638</v>
      </c>
      <c r="L10" s="71" t="s">
        <v>639</v>
      </c>
      <c r="M10" s="54"/>
      <c r="N10" s="54"/>
      <c r="O10" s="39" t="s">
        <v>441</v>
      </c>
      <c r="P10" s="39" t="s">
        <v>475</v>
      </c>
      <c r="Q10" s="54"/>
      <c r="R10" s="103"/>
      <c r="S10" s="116"/>
      <c r="T10" s="209" t="s">
        <v>722</v>
      </c>
      <c r="U10" s="52"/>
      <c r="V10" s="222"/>
      <c r="W10" s="222"/>
      <c r="X10" s="222"/>
      <c r="Y10" s="222"/>
      <c r="Z10" s="222"/>
      <c r="AA10" s="103"/>
      <c r="AB10" s="53"/>
      <c r="AC10" s="53"/>
      <c r="AD10" s="53"/>
    </row>
    <row r="11" spans="1:30" s="61" customFormat="1" ht="13.5" x14ac:dyDescent="0.25">
      <c r="A11" s="103"/>
      <c r="C11" s="103"/>
      <c r="D11" s="206"/>
      <c r="E11" s="238"/>
      <c r="F11" s="54" t="s">
        <v>807</v>
      </c>
      <c r="G11" s="39" t="s">
        <v>522</v>
      </c>
      <c r="H11" s="39" t="s">
        <v>523</v>
      </c>
      <c r="I11" s="62"/>
      <c r="J11" s="62"/>
      <c r="K11" s="71" t="s">
        <v>155</v>
      </c>
      <c r="L11" s="71" t="s">
        <v>156</v>
      </c>
      <c r="M11" s="54"/>
      <c r="N11" s="54"/>
      <c r="O11" s="39" t="s">
        <v>441</v>
      </c>
      <c r="P11" s="39" t="s">
        <v>475</v>
      </c>
      <c r="Q11" s="54"/>
      <c r="R11" s="103"/>
      <c r="S11" s="116"/>
      <c r="T11" s="209" t="s">
        <v>723</v>
      </c>
      <c r="U11" s="52"/>
      <c r="V11" s="222"/>
      <c r="W11" s="222"/>
      <c r="X11" s="222"/>
      <c r="Y11" s="222"/>
      <c r="Z11" s="222"/>
      <c r="AA11" s="103"/>
      <c r="AB11" s="53"/>
      <c r="AC11" s="53"/>
      <c r="AD11" s="53"/>
    </row>
    <row r="12" spans="1:30" s="61" customFormat="1" ht="13.5" x14ac:dyDescent="0.25">
      <c r="A12" s="103"/>
      <c r="C12" s="103"/>
      <c r="D12" s="206"/>
      <c r="E12" s="238"/>
      <c r="F12" s="54" t="s">
        <v>808</v>
      </c>
      <c r="G12" s="39" t="s">
        <v>524</v>
      </c>
      <c r="H12" s="39" t="s">
        <v>525</v>
      </c>
      <c r="I12" s="62"/>
      <c r="J12" s="62"/>
      <c r="K12" s="71" t="s">
        <v>640</v>
      </c>
      <c r="L12" s="71" t="s">
        <v>641</v>
      </c>
      <c r="M12" s="54"/>
      <c r="N12" s="54"/>
      <c r="O12" s="39" t="s">
        <v>441</v>
      </c>
      <c r="P12" s="39" t="s">
        <v>475</v>
      </c>
      <c r="Q12" s="54"/>
      <c r="R12" s="103"/>
      <c r="S12" s="116"/>
      <c r="T12" s="39"/>
      <c r="U12" s="52"/>
      <c r="V12" s="222"/>
      <c r="W12" s="222"/>
      <c r="X12" s="222"/>
      <c r="Y12" s="222"/>
      <c r="Z12" s="222"/>
      <c r="AA12" s="103"/>
      <c r="AB12" s="53"/>
      <c r="AC12" s="53"/>
      <c r="AD12" s="53"/>
    </row>
    <row r="13" spans="1:30" s="61" customFormat="1" ht="13.5" x14ac:dyDescent="0.25">
      <c r="A13" s="103"/>
      <c r="C13" s="103"/>
      <c r="D13" s="206"/>
      <c r="E13" s="238"/>
      <c r="F13" s="54" t="s">
        <v>809</v>
      </c>
      <c r="G13" s="39" t="s">
        <v>524</v>
      </c>
      <c r="H13" s="39" t="s">
        <v>526</v>
      </c>
      <c r="I13" s="62"/>
      <c r="J13" s="62"/>
      <c r="K13" s="71" t="s">
        <v>640</v>
      </c>
      <c r="L13" s="71" t="s">
        <v>641</v>
      </c>
      <c r="M13" s="54"/>
      <c r="N13" s="54"/>
      <c r="O13" s="39" t="s">
        <v>441</v>
      </c>
      <c r="P13" s="39" t="s">
        <v>475</v>
      </c>
      <c r="Q13" s="54"/>
      <c r="R13" s="103"/>
      <c r="S13" s="116"/>
      <c r="T13" s="39"/>
      <c r="U13" s="52"/>
      <c r="V13" s="222"/>
      <c r="W13" s="222"/>
      <c r="X13" s="222"/>
      <c r="Y13" s="222"/>
      <c r="Z13" s="222"/>
      <c r="AA13" s="103"/>
      <c r="AB13" s="53"/>
      <c r="AC13" s="53"/>
      <c r="AD13" s="53"/>
    </row>
    <row r="14" spans="1:30" s="61" customFormat="1" ht="13.5" x14ac:dyDescent="0.25">
      <c r="A14" s="103"/>
      <c r="C14" s="103"/>
      <c r="D14" s="206"/>
      <c r="E14" s="238"/>
      <c r="F14" s="54" t="s">
        <v>810</v>
      </c>
      <c r="G14" s="39" t="s">
        <v>527</v>
      </c>
      <c r="H14" s="39" t="s">
        <v>528</v>
      </c>
      <c r="I14" s="62"/>
      <c r="J14" s="62"/>
      <c r="K14" s="71" t="s">
        <v>642</v>
      </c>
      <c r="L14" s="71" t="s">
        <v>643</v>
      </c>
      <c r="M14" s="54"/>
      <c r="N14" s="54"/>
      <c r="O14" s="39" t="s">
        <v>441</v>
      </c>
      <c r="P14" s="39" t="s">
        <v>475</v>
      </c>
      <c r="Q14" s="54"/>
      <c r="R14" s="103"/>
      <c r="S14" s="116"/>
      <c r="T14" s="39"/>
      <c r="U14" s="52"/>
      <c r="V14" s="222"/>
      <c r="W14" s="222"/>
      <c r="X14" s="222"/>
      <c r="Y14" s="222"/>
      <c r="Z14" s="222"/>
      <c r="AA14" s="103"/>
      <c r="AB14" s="53"/>
      <c r="AC14" s="53"/>
      <c r="AD14" s="53"/>
    </row>
    <row r="15" spans="1:30" s="61" customFormat="1" ht="13.5" x14ac:dyDescent="0.25">
      <c r="A15" s="103"/>
      <c r="C15" s="103"/>
      <c r="D15" s="206"/>
      <c r="E15" s="238"/>
      <c r="F15" s="54" t="s">
        <v>811</v>
      </c>
      <c r="G15" s="39" t="s">
        <v>527</v>
      </c>
      <c r="H15" s="39" t="s">
        <v>529</v>
      </c>
      <c r="I15" s="62"/>
      <c r="J15" s="62"/>
      <c r="K15" s="71" t="s">
        <v>642</v>
      </c>
      <c r="L15" s="71" t="s">
        <v>643</v>
      </c>
      <c r="M15" s="54"/>
      <c r="N15" s="54"/>
      <c r="O15" s="39" t="s">
        <v>441</v>
      </c>
      <c r="P15" s="39" t="s">
        <v>475</v>
      </c>
      <c r="Q15" s="54"/>
      <c r="R15" s="103"/>
      <c r="S15" s="116"/>
      <c r="T15" s="39"/>
      <c r="U15" s="52"/>
      <c r="V15" s="222"/>
      <c r="W15" s="222"/>
      <c r="X15" s="222"/>
      <c r="Y15" s="222"/>
      <c r="Z15" s="222"/>
      <c r="AA15" s="103"/>
      <c r="AB15" s="53"/>
      <c r="AC15" s="53"/>
      <c r="AD15" s="53"/>
    </row>
    <row r="16" spans="1:30" s="61" customFormat="1" ht="13.5" x14ac:dyDescent="0.25">
      <c r="A16" s="103"/>
      <c r="C16" s="103"/>
      <c r="D16" s="206"/>
      <c r="E16" s="238"/>
      <c r="F16" s="54" t="s">
        <v>812</v>
      </c>
      <c r="G16" s="39" t="s">
        <v>530</v>
      </c>
      <c r="H16" s="39" t="s">
        <v>531</v>
      </c>
      <c r="I16" s="62"/>
      <c r="J16" s="62"/>
      <c r="K16" s="71" t="s">
        <v>644</v>
      </c>
      <c r="L16" s="71" t="s">
        <v>645</v>
      </c>
      <c r="M16" s="54"/>
      <c r="N16" s="54"/>
      <c r="O16" s="39" t="s">
        <v>441</v>
      </c>
      <c r="P16" s="39" t="s">
        <v>475</v>
      </c>
      <c r="Q16" s="54"/>
      <c r="R16" s="103"/>
      <c r="S16" s="116"/>
      <c r="T16" s="39"/>
      <c r="U16" s="52"/>
      <c r="V16" s="222"/>
      <c r="W16" s="222"/>
      <c r="X16" s="222"/>
      <c r="Y16" s="222"/>
      <c r="Z16" s="222"/>
      <c r="AA16" s="103"/>
      <c r="AB16" s="53"/>
      <c r="AC16" s="53"/>
      <c r="AD16" s="53"/>
    </row>
    <row r="17" spans="1:30" s="61" customFormat="1" ht="13.5" x14ac:dyDescent="0.25">
      <c r="A17" s="103"/>
      <c r="C17" s="103"/>
      <c r="D17" s="206"/>
      <c r="E17" s="238"/>
      <c r="F17" s="54" t="s">
        <v>813</v>
      </c>
      <c r="G17" s="39" t="s">
        <v>530</v>
      </c>
      <c r="H17" s="39" t="s">
        <v>532</v>
      </c>
      <c r="I17" s="62"/>
      <c r="J17" s="62"/>
      <c r="K17" s="71" t="s">
        <v>644</v>
      </c>
      <c r="L17" s="71" t="s">
        <v>645</v>
      </c>
      <c r="M17" s="54"/>
      <c r="N17" s="54"/>
      <c r="O17" s="39" t="s">
        <v>441</v>
      </c>
      <c r="P17" s="39" t="s">
        <v>475</v>
      </c>
      <c r="Q17" s="54"/>
      <c r="R17" s="103"/>
      <c r="S17" s="116"/>
      <c r="T17" s="39"/>
      <c r="U17" s="52"/>
      <c r="V17" s="222"/>
      <c r="W17" s="222"/>
      <c r="X17" s="222"/>
      <c r="Y17" s="222"/>
      <c r="Z17" s="222"/>
      <c r="AA17" s="103"/>
      <c r="AB17" s="53"/>
      <c r="AC17" s="53"/>
      <c r="AD17" s="53"/>
    </row>
    <row r="18" spans="1:30" s="61" customFormat="1" ht="13.5" x14ac:dyDescent="0.25">
      <c r="A18" s="103"/>
      <c r="C18" s="103"/>
      <c r="D18" s="206"/>
      <c r="E18" s="238"/>
      <c r="F18" s="54" t="s">
        <v>814</v>
      </c>
      <c r="G18" s="39" t="s">
        <v>533</v>
      </c>
      <c r="H18" s="39" t="s">
        <v>534</v>
      </c>
      <c r="I18" s="62"/>
      <c r="J18" s="62"/>
      <c r="K18" s="71" t="s">
        <v>646</v>
      </c>
      <c r="L18" s="71" t="s">
        <v>647</v>
      </c>
      <c r="M18" s="54"/>
      <c r="N18" s="54"/>
      <c r="O18" s="39" t="s">
        <v>441</v>
      </c>
      <c r="P18" s="39" t="s">
        <v>475</v>
      </c>
      <c r="Q18" s="54"/>
      <c r="R18" s="103"/>
      <c r="S18" s="116"/>
      <c r="T18" s="39"/>
      <c r="U18" s="52"/>
      <c r="V18" s="222"/>
      <c r="W18" s="222"/>
      <c r="X18" s="222"/>
      <c r="Y18" s="222"/>
      <c r="Z18" s="222"/>
      <c r="AA18" s="103"/>
      <c r="AB18" s="53"/>
      <c r="AC18" s="53"/>
      <c r="AD18" s="53"/>
    </row>
    <row r="19" spans="1:30" s="61" customFormat="1" ht="13.5" x14ac:dyDescent="0.25">
      <c r="A19" s="103"/>
      <c r="C19" s="103"/>
      <c r="D19" s="206"/>
      <c r="E19" s="238"/>
      <c r="F19" s="54" t="s">
        <v>815</v>
      </c>
      <c r="G19" s="39" t="s">
        <v>533</v>
      </c>
      <c r="H19" s="39" t="s">
        <v>535</v>
      </c>
      <c r="I19" s="62"/>
      <c r="J19" s="62"/>
      <c r="K19" s="71" t="s">
        <v>646</v>
      </c>
      <c r="L19" s="71" t="s">
        <v>647</v>
      </c>
      <c r="M19" s="54"/>
      <c r="N19" s="54"/>
      <c r="O19" s="39" t="s">
        <v>441</v>
      </c>
      <c r="P19" s="39" t="s">
        <v>475</v>
      </c>
      <c r="Q19" s="54"/>
      <c r="R19" s="103"/>
      <c r="S19" s="116"/>
      <c r="T19" s="39"/>
      <c r="U19" s="52"/>
      <c r="V19" s="222"/>
      <c r="W19" s="222"/>
      <c r="X19" s="222"/>
      <c r="Y19" s="222"/>
      <c r="Z19" s="222"/>
      <c r="AA19" s="103"/>
      <c r="AB19" s="53"/>
      <c r="AC19" s="53"/>
      <c r="AD19" s="53"/>
    </row>
    <row r="20" spans="1:30" s="61" customFormat="1" ht="13.5" x14ac:dyDescent="0.25">
      <c r="A20" s="103"/>
      <c r="C20" s="103"/>
      <c r="D20" s="206"/>
      <c r="E20" s="238"/>
      <c r="F20" s="54" t="s">
        <v>816</v>
      </c>
      <c r="G20" s="39" t="s">
        <v>536</v>
      </c>
      <c r="H20" s="39" t="s">
        <v>537</v>
      </c>
      <c r="I20" s="62"/>
      <c r="J20" s="62"/>
      <c r="K20" s="71" t="s">
        <v>648</v>
      </c>
      <c r="L20" s="71" t="s">
        <v>649</v>
      </c>
      <c r="M20" s="54"/>
      <c r="N20" s="54"/>
      <c r="O20" s="39" t="s">
        <v>441</v>
      </c>
      <c r="P20" s="39" t="s">
        <v>475</v>
      </c>
      <c r="Q20" s="54"/>
      <c r="R20" s="103"/>
      <c r="S20" s="116"/>
      <c r="T20" s="39"/>
      <c r="U20" s="52"/>
      <c r="V20" s="222"/>
      <c r="W20" s="222"/>
      <c r="X20" s="222"/>
      <c r="Y20" s="222"/>
      <c r="Z20" s="222"/>
      <c r="AA20" s="103"/>
      <c r="AB20" s="53"/>
      <c r="AC20" s="53"/>
      <c r="AD20" s="53"/>
    </row>
    <row r="21" spans="1:30" s="61" customFormat="1" ht="25.5" x14ac:dyDescent="0.25">
      <c r="A21" s="103"/>
      <c r="C21" s="103"/>
      <c r="D21" s="206"/>
      <c r="E21" s="238"/>
      <c r="F21" s="54" t="s">
        <v>817</v>
      </c>
      <c r="G21" s="39" t="s">
        <v>538</v>
      </c>
      <c r="H21" s="39" t="s">
        <v>539</v>
      </c>
      <c r="I21" s="62"/>
      <c r="J21" s="62"/>
      <c r="K21" s="71" t="s">
        <v>650</v>
      </c>
      <c r="L21" s="71" t="s">
        <v>651</v>
      </c>
      <c r="M21" s="54"/>
      <c r="N21" s="54"/>
      <c r="O21" s="39" t="s">
        <v>441</v>
      </c>
      <c r="P21" s="39" t="s">
        <v>475</v>
      </c>
      <c r="Q21" s="54"/>
      <c r="R21" s="103"/>
      <c r="S21" s="116"/>
      <c r="T21" s="39"/>
      <c r="U21" s="52"/>
      <c r="V21" s="222"/>
      <c r="W21" s="222"/>
      <c r="X21" s="222"/>
      <c r="Y21" s="222"/>
      <c r="Z21" s="222"/>
      <c r="AA21" s="103"/>
      <c r="AB21" s="53"/>
      <c r="AC21" s="53"/>
      <c r="AD21" s="53"/>
    </row>
    <row r="22" spans="1:30" s="61" customFormat="1" ht="25.5" x14ac:dyDescent="0.25">
      <c r="A22" s="103"/>
      <c r="C22" s="103"/>
      <c r="D22" s="206"/>
      <c r="E22" s="238"/>
      <c r="F22" s="54" t="s">
        <v>818</v>
      </c>
      <c r="G22" s="39" t="s">
        <v>540</v>
      </c>
      <c r="H22" s="39" t="s">
        <v>541</v>
      </c>
      <c r="I22" s="62"/>
      <c r="J22" s="62"/>
      <c r="K22" s="71" t="s">
        <v>652</v>
      </c>
      <c r="L22" s="71" t="s">
        <v>653</v>
      </c>
      <c r="M22" s="54"/>
      <c r="N22" s="54"/>
      <c r="O22" s="39" t="s">
        <v>441</v>
      </c>
      <c r="P22" s="39" t="s">
        <v>475</v>
      </c>
      <c r="Q22" s="54"/>
      <c r="R22" s="103"/>
      <c r="S22" s="116"/>
      <c r="T22" s="39"/>
      <c r="U22" s="52"/>
      <c r="V22" s="222"/>
      <c r="W22" s="222"/>
      <c r="X22" s="222"/>
      <c r="Y22" s="222"/>
      <c r="Z22" s="222"/>
      <c r="AA22" s="103"/>
      <c r="AB22" s="53"/>
      <c r="AC22" s="53"/>
      <c r="AD22" s="53"/>
    </row>
    <row r="23" spans="1:30" s="61" customFormat="1" ht="38.25" x14ac:dyDescent="0.25">
      <c r="A23" s="103"/>
      <c r="C23" s="103"/>
      <c r="D23" s="206"/>
      <c r="E23" s="238"/>
      <c r="F23" s="54" t="s">
        <v>819</v>
      </c>
      <c r="G23" s="39" t="s">
        <v>542</v>
      </c>
      <c r="H23" s="39" t="s">
        <v>543</v>
      </c>
      <c r="I23" s="62"/>
      <c r="J23" s="62"/>
      <c r="K23" s="71" t="s">
        <v>654</v>
      </c>
      <c r="L23" s="71" t="s">
        <v>655</v>
      </c>
      <c r="M23" s="54"/>
      <c r="N23" s="54"/>
      <c r="O23" s="39" t="s">
        <v>441</v>
      </c>
      <c r="P23" s="39" t="s">
        <v>475</v>
      </c>
      <c r="Q23" s="54"/>
      <c r="R23" s="103"/>
      <c r="S23" s="116"/>
      <c r="T23" s="39"/>
      <c r="U23" s="52"/>
      <c r="V23" s="222"/>
      <c r="W23" s="222"/>
      <c r="X23" s="222"/>
      <c r="Y23" s="222"/>
      <c r="Z23" s="222"/>
      <c r="AA23" s="103"/>
      <c r="AB23" s="53"/>
      <c r="AC23" s="53"/>
      <c r="AD23" s="53"/>
    </row>
    <row r="24" spans="1:30" s="61" customFormat="1" ht="13.5" x14ac:dyDescent="0.25">
      <c r="A24" s="103"/>
      <c r="C24" s="103"/>
      <c r="D24" s="206"/>
      <c r="E24" s="238"/>
      <c r="F24" s="54" t="s">
        <v>820</v>
      </c>
      <c r="G24" s="39" t="s">
        <v>544</v>
      </c>
      <c r="H24" s="39" t="s">
        <v>545</v>
      </c>
      <c r="I24" s="62"/>
      <c r="J24" s="62"/>
      <c r="K24" s="71" t="s">
        <v>656</v>
      </c>
      <c r="L24" s="71" t="s">
        <v>657</v>
      </c>
      <c r="M24" s="54"/>
      <c r="N24" s="54"/>
      <c r="O24" s="39" t="s">
        <v>441</v>
      </c>
      <c r="P24" s="39" t="s">
        <v>475</v>
      </c>
      <c r="Q24" s="54"/>
      <c r="R24" s="103"/>
      <c r="S24" s="116"/>
      <c r="T24" s="39"/>
      <c r="U24" s="52"/>
      <c r="V24" s="222"/>
      <c r="W24" s="222"/>
      <c r="X24" s="222"/>
      <c r="Y24" s="222"/>
      <c r="Z24" s="222"/>
      <c r="AA24" s="103"/>
      <c r="AB24" s="53"/>
      <c r="AC24" s="53"/>
      <c r="AD24" s="53"/>
    </row>
    <row r="25" spans="1:30" s="61" customFormat="1" ht="13.5" x14ac:dyDescent="0.25">
      <c r="A25" s="103"/>
      <c r="C25" s="103"/>
      <c r="D25" s="206"/>
      <c r="E25" s="238"/>
      <c r="F25" s="54" t="s">
        <v>821</v>
      </c>
      <c r="G25" s="39" t="s">
        <v>546</v>
      </c>
      <c r="H25" s="39" t="s">
        <v>547</v>
      </c>
      <c r="I25" s="62"/>
      <c r="J25" s="62"/>
      <c r="K25" s="71" t="s">
        <v>658</v>
      </c>
      <c r="L25" s="71" t="s">
        <v>659</v>
      </c>
      <c r="M25" s="54"/>
      <c r="N25" s="54"/>
      <c r="O25" s="39" t="s">
        <v>441</v>
      </c>
      <c r="P25" s="39" t="s">
        <v>475</v>
      </c>
      <c r="Q25" s="54"/>
      <c r="R25" s="103"/>
      <c r="S25" s="116"/>
      <c r="T25" s="39"/>
      <c r="U25" s="52"/>
      <c r="V25" s="222"/>
      <c r="W25" s="222"/>
      <c r="X25" s="222"/>
      <c r="Y25" s="222"/>
      <c r="Z25" s="222"/>
      <c r="AA25" s="103"/>
      <c r="AB25" s="53"/>
      <c r="AC25" s="53"/>
      <c r="AD25" s="53"/>
    </row>
    <row r="26" spans="1:30" s="61" customFormat="1" ht="13.5" x14ac:dyDescent="0.25">
      <c r="A26" s="103"/>
      <c r="C26" s="103"/>
      <c r="D26" s="206"/>
      <c r="E26" s="238"/>
      <c r="F26" s="54" t="s">
        <v>822</v>
      </c>
      <c r="G26" s="39" t="s">
        <v>548</v>
      </c>
      <c r="H26" s="39" t="s">
        <v>549</v>
      </c>
      <c r="I26" s="62"/>
      <c r="J26" s="62"/>
      <c r="K26" s="71" t="s">
        <v>548</v>
      </c>
      <c r="L26" s="71" t="s">
        <v>660</v>
      </c>
      <c r="M26" s="54"/>
      <c r="N26" s="54"/>
      <c r="O26" s="39" t="s">
        <v>441</v>
      </c>
      <c r="P26" s="39" t="s">
        <v>475</v>
      </c>
      <c r="Q26" s="54"/>
      <c r="R26" s="103"/>
      <c r="S26" s="116"/>
      <c r="T26" s="39"/>
      <c r="U26" s="52"/>
      <c r="V26" s="222"/>
      <c r="W26" s="222"/>
      <c r="X26" s="222"/>
      <c r="Y26" s="222"/>
      <c r="Z26" s="222"/>
      <c r="AA26" s="103"/>
      <c r="AB26" s="53"/>
      <c r="AC26" s="53"/>
      <c r="AD26" s="53"/>
    </row>
    <row r="27" spans="1:30" s="61" customFormat="1" ht="13.5" x14ac:dyDescent="0.25">
      <c r="A27" s="103"/>
      <c r="C27" s="103"/>
      <c r="D27" s="206"/>
      <c r="E27" s="238"/>
      <c r="F27" s="54" t="s">
        <v>823</v>
      </c>
      <c r="G27" s="39" t="s">
        <v>550</v>
      </c>
      <c r="H27" s="39" t="s">
        <v>551</v>
      </c>
      <c r="I27" s="62"/>
      <c r="J27" s="62"/>
      <c r="K27" s="71" t="s">
        <v>550</v>
      </c>
      <c r="L27" s="71" t="s">
        <v>661</v>
      </c>
      <c r="M27" s="54"/>
      <c r="N27" s="54"/>
      <c r="O27" s="39" t="s">
        <v>454</v>
      </c>
      <c r="P27" s="39" t="s">
        <v>498</v>
      </c>
      <c r="Q27" s="54"/>
      <c r="R27" s="103"/>
      <c r="S27" s="116"/>
      <c r="T27" s="39"/>
      <c r="U27" s="52"/>
      <c r="V27" s="222"/>
      <c r="W27" s="222"/>
      <c r="X27" s="222"/>
      <c r="Y27" s="222"/>
      <c r="Z27" s="222"/>
      <c r="AA27" s="103"/>
      <c r="AB27" s="53"/>
      <c r="AC27" s="53"/>
      <c r="AD27" s="53"/>
    </row>
    <row r="28" spans="1:30" s="61" customFormat="1" ht="13.5" x14ac:dyDescent="0.25">
      <c r="A28" s="103"/>
      <c r="C28" s="103"/>
      <c r="D28" s="206"/>
      <c r="E28" s="238"/>
      <c r="F28" s="54" t="s">
        <v>824</v>
      </c>
      <c r="G28" s="39" t="s">
        <v>552</v>
      </c>
      <c r="H28" s="39" t="s">
        <v>553</v>
      </c>
      <c r="I28" s="62"/>
      <c r="J28" s="62"/>
      <c r="K28" s="71" t="s">
        <v>552</v>
      </c>
      <c r="L28" s="71" t="s">
        <v>662</v>
      </c>
      <c r="M28" s="54"/>
      <c r="N28" s="54"/>
      <c r="O28" s="39" t="s">
        <v>454</v>
      </c>
      <c r="P28" s="39" t="s">
        <v>718</v>
      </c>
      <c r="Q28" s="54"/>
      <c r="R28" s="103"/>
      <c r="S28" s="116"/>
      <c r="T28" s="39"/>
      <c r="U28" s="52"/>
      <c r="V28" s="222"/>
      <c r="W28" s="222"/>
      <c r="X28" s="222"/>
      <c r="Y28" s="222"/>
      <c r="Z28" s="222"/>
      <c r="AA28" s="103"/>
      <c r="AB28" s="53"/>
      <c r="AC28" s="53"/>
      <c r="AD28" s="53"/>
    </row>
    <row r="29" spans="1:30" s="61" customFormat="1" ht="13.5" x14ac:dyDescent="0.25">
      <c r="A29" s="103"/>
      <c r="C29" s="103"/>
      <c r="D29" s="206"/>
      <c r="E29" s="238"/>
      <c r="F29" s="54" t="s">
        <v>825</v>
      </c>
      <c r="G29" s="39" t="s">
        <v>554</v>
      </c>
      <c r="H29" s="39" t="s">
        <v>555</v>
      </c>
      <c r="I29" s="62"/>
      <c r="J29" s="62"/>
      <c r="K29" s="71" t="s">
        <v>554</v>
      </c>
      <c r="L29" s="71" t="s">
        <v>663</v>
      </c>
      <c r="M29" s="54"/>
      <c r="N29" s="54"/>
      <c r="O29" s="39" t="s">
        <v>430</v>
      </c>
      <c r="P29" s="39" t="s">
        <v>439</v>
      </c>
      <c r="Q29" s="54"/>
      <c r="R29" s="103"/>
      <c r="S29" s="116"/>
      <c r="T29" s="39"/>
      <c r="U29" s="52"/>
      <c r="V29" s="222"/>
      <c r="W29" s="222"/>
      <c r="X29" s="222"/>
      <c r="Y29" s="222"/>
      <c r="Z29" s="222"/>
      <c r="AA29" s="103"/>
      <c r="AB29" s="53"/>
      <c r="AC29" s="53"/>
      <c r="AD29" s="53"/>
    </row>
    <row r="30" spans="1:30" s="61" customFormat="1" ht="13.5" x14ac:dyDescent="0.25">
      <c r="A30" s="103"/>
      <c r="C30" s="103"/>
      <c r="D30" s="206"/>
      <c r="E30" s="238"/>
      <c r="F30" s="54" t="s">
        <v>826</v>
      </c>
      <c r="G30" s="39" t="s">
        <v>556</v>
      </c>
      <c r="H30" s="39" t="s">
        <v>557</v>
      </c>
      <c r="I30" s="62"/>
      <c r="J30" s="62"/>
      <c r="K30" s="71" t="s">
        <v>556</v>
      </c>
      <c r="L30" s="71" t="s">
        <v>664</v>
      </c>
      <c r="M30" s="54"/>
      <c r="N30" s="54"/>
      <c r="O30" s="39" t="s">
        <v>454</v>
      </c>
      <c r="P30" s="39" t="s">
        <v>718</v>
      </c>
      <c r="Q30" s="54"/>
      <c r="R30" s="103"/>
      <c r="S30" s="116"/>
      <c r="T30" s="39"/>
      <c r="U30" s="52"/>
      <c r="V30" s="222"/>
      <c r="W30" s="222"/>
      <c r="X30" s="222"/>
      <c r="Y30" s="222"/>
      <c r="Z30" s="222"/>
      <c r="AA30" s="103"/>
      <c r="AB30" s="53"/>
      <c r="AC30" s="53"/>
      <c r="AD30" s="53"/>
    </row>
    <row r="31" spans="1:30" s="61" customFormat="1" ht="13.5" x14ac:dyDescent="0.25">
      <c r="A31" s="103"/>
      <c r="C31" s="103"/>
      <c r="D31" s="206"/>
      <c r="E31" s="238"/>
      <c r="F31" s="54" t="s">
        <v>827</v>
      </c>
      <c r="G31" s="39" t="s">
        <v>558</v>
      </c>
      <c r="H31" s="39" t="s">
        <v>559</v>
      </c>
      <c r="I31" s="62"/>
      <c r="J31" s="62"/>
      <c r="K31" s="71" t="s">
        <v>665</v>
      </c>
      <c r="L31" s="71" t="s">
        <v>666</v>
      </c>
      <c r="M31" s="54"/>
      <c r="N31" s="54"/>
      <c r="O31" s="39" t="s">
        <v>430</v>
      </c>
      <c r="P31" s="39" t="s">
        <v>439</v>
      </c>
      <c r="Q31" s="54"/>
      <c r="R31" s="103"/>
      <c r="S31" s="116"/>
      <c r="T31" s="39"/>
      <c r="U31" s="52"/>
      <c r="V31" s="222"/>
      <c r="W31" s="222"/>
      <c r="X31" s="222"/>
      <c r="Y31" s="222"/>
      <c r="Z31" s="222"/>
      <c r="AA31" s="103"/>
      <c r="AB31" s="53"/>
      <c r="AC31" s="53"/>
      <c r="AD31" s="53"/>
    </row>
    <row r="32" spans="1:30" s="61" customFormat="1" ht="13.5" x14ac:dyDescent="0.25">
      <c r="A32" s="103"/>
      <c r="C32" s="103"/>
      <c r="D32" s="206"/>
      <c r="E32" s="238"/>
      <c r="F32" s="54" t="s">
        <v>828</v>
      </c>
      <c r="G32" s="39" t="s">
        <v>560</v>
      </c>
      <c r="H32" s="39" t="s">
        <v>561</v>
      </c>
      <c r="I32" s="62"/>
      <c r="J32" s="62"/>
      <c r="K32" s="71" t="s">
        <v>560</v>
      </c>
      <c r="L32" s="71" t="s">
        <v>667</v>
      </c>
      <c r="M32" s="54"/>
      <c r="N32" s="54"/>
      <c r="O32" s="39" t="s">
        <v>441</v>
      </c>
      <c r="P32" s="39" t="s">
        <v>475</v>
      </c>
      <c r="Q32" s="54"/>
      <c r="R32" s="103"/>
      <c r="S32" s="116"/>
      <c r="T32" s="39"/>
      <c r="U32" s="52"/>
      <c r="V32" s="222"/>
      <c r="W32" s="222"/>
      <c r="X32" s="222"/>
      <c r="Y32" s="222"/>
      <c r="Z32" s="222"/>
      <c r="AA32" s="103"/>
      <c r="AB32" s="53"/>
      <c r="AC32" s="53"/>
      <c r="AD32" s="53"/>
    </row>
    <row r="33" spans="1:30" s="61" customFormat="1" ht="13.5" x14ac:dyDescent="0.25">
      <c r="A33" s="103"/>
      <c r="C33" s="103"/>
      <c r="D33" s="206"/>
      <c r="E33" s="238"/>
      <c r="F33" s="54" t="s">
        <v>829</v>
      </c>
      <c r="G33" s="39" t="s">
        <v>562</v>
      </c>
      <c r="H33" s="39" t="s">
        <v>563</v>
      </c>
      <c r="I33" s="62"/>
      <c r="J33" s="62"/>
      <c r="K33" s="71" t="s">
        <v>562</v>
      </c>
      <c r="L33" s="71" t="s">
        <v>668</v>
      </c>
      <c r="M33" s="54"/>
      <c r="N33" s="54"/>
      <c r="O33" s="39" t="s">
        <v>430</v>
      </c>
      <c r="P33" s="39" t="s">
        <v>439</v>
      </c>
      <c r="Q33" s="54"/>
      <c r="R33" s="103"/>
      <c r="S33" s="116"/>
      <c r="T33" s="39"/>
      <c r="U33" s="52"/>
      <c r="V33" s="222"/>
      <c r="W33" s="222"/>
      <c r="X33" s="222"/>
      <c r="Y33" s="222"/>
      <c r="Z33" s="222"/>
      <c r="AA33" s="103"/>
      <c r="AB33" s="53"/>
      <c r="AC33" s="53"/>
      <c r="AD33" s="53"/>
    </row>
    <row r="34" spans="1:30" s="61" customFormat="1" ht="13.5" x14ac:dyDescent="0.25">
      <c r="A34" s="103"/>
      <c r="C34" s="103"/>
      <c r="D34" s="206"/>
      <c r="E34" s="238"/>
      <c r="F34" s="54" t="s">
        <v>830</v>
      </c>
      <c r="G34" s="39" t="s">
        <v>564</v>
      </c>
      <c r="H34" s="39" t="s">
        <v>565</v>
      </c>
      <c r="I34" s="62"/>
      <c r="J34" s="62"/>
      <c r="K34" s="71" t="s">
        <v>564</v>
      </c>
      <c r="L34" s="71" t="s">
        <v>669</v>
      </c>
      <c r="M34" s="54"/>
      <c r="N34" s="54"/>
      <c r="O34" s="39" t="s">
        <v>430</v>
      </c>
      <c r="P34" s="39" t="s">
        <v>439</v>
      </c>
      <c r="Q34" s="54"/>
      <c r="R34" s="103"/>
      <c r="S34" s="116"/>
      <c r="T34" s="39"/>
      <c r="U34" s="52"/>
      <c r="V34" s="222"/>
      <c r="W34" s="222"/>
      <c r="X34" s="222"/>
      <c r="Y34" s="222"/>
      <c r="Z34" s="222"/>
      <c r="AA34" s="103"/>
      <c r="AB34" s="53"/>
      <c r="AC34" s="53"/>
      <c r="AD34" s="53"/>
    </row>
    <row r="35" spans="1:30" s="61" customFormat="1" ht="13.5" x14ac:dyDescent="0.25">
      <c r="A35" s="103"/>
      <c r="C35" s="103"/>
      <c r="D35" s="206"/>
      <c r="E35" s="238"/>
      <c r="F35" s="54" t="s">
        <v>831</v>
      </c>
      <c r="G35" s="39" t="s">
        <v>566</v>
      </c>
      <c r="H35" s="39" t="s">
        <v>567</v>
      </c>
      <c r="I35" s="62"/>
      <c r="J35" s="62"/>
      <c r="K35" s="71" t="s">
        <v>566</v>
      </c>
      <c r="L35" s="71" t="s">
        <v>670</v>
      </c>
      <c r="M35" s="54"/>
      <c r="N35" s="54"/>
      <c r="O35" s="39" t="s">
        <v>430</v>
      </c>
      <c r="P35" s="39" t="s">
        <v>439</v>
      </c>
      <c r="Q35" s="54"/>
      <c r="R35" s="103"/>
      <c r="S35" s="116"/>
      <c r="T35" s="39"/>
      <c r="U35" s="52"/>
      <c r="V35" s="222"/>
      <c r="W35" s="222"/>
      <c r="X35" s="222"/>
      <c r="Y35" s="222"/>
      <c r="Z35" s="222"/>
      <c r="AA35" s="103"/>
      <c r="AB35" s="53"/>
      <c r="AC35" s="53"/>
      <c r="AD35" s="53"/>
    </row>
    <row r="36" spans="1:30" s="61" customFormat="1" ht="13.5" x14ac:dyDescent="0.25">
      <c r="A36" s="103"/>
      <c r="C36" s="103"/>
      <c r="D36" s="206"/>
      <c r="E36" s="238"/>
      <c r="F36" s="54" t="s">
        <v>832</v>
      </c>
      <c r="G36" s="39" t="s">
        <v>568</v>
      </c>
      <c r="H36" s="39" t="s">
        <v>569</v>
      </c>
      <c r="I36" s="62"/>
      <c r="J36" s="62"/>
      <c r="K36" s="71" t="s">
        <v>568</v>
      </c>
      <c r="L36" s="71" t="s">
        <v>671</v>
      </c>
      <c r="M36" s="54"/>
      <c r="N36" s="54"/>
      <c r="O36" s="39" t="s">
        <v>430</v>
      </c>
      <c r="P36" s="39" t="s">
        <v>439</v>
      </c>
      <c r="R36" s="103"/>
      <c r="S36" s="116"/>
      <c r="T36" s="39"/>
      <c r="U36" s="52"/>
      <c r="V36" s="222"/>
      <c r="W36" s="222"/>
      <c r="X36" s="222"/>
      <c r="Y36" s="222"/>
      <c r="Z36" s="222"/>
      <c r="AA36" s="103"/>
      <c r="AB36" s="53"/>
      <c r="AC36" s="53"/>
      <c r="AD36" s="53"/>
    </row>
    <row r="37" spans="1:30" s="61" customFormat="1" ht="63.75" x14ac:dyDescent="0.25">
      <c r="A37" s="103"/>
      <c r="C37" s="103"/>
      <c r="D37" s="207" t="s">
        <v>618</v>
      </c>
      <c r="E37" s="238"/>
      <c r="F37" s="54" t="s">
        <v>833</v>
      </c>
      <c r="G37" s="39" t="s">
        <v>570</v>
      </c>
      <c r="H37" s="39" t="s">
        <v>571</v>
      </c>
      <c r="I37" s="62"/>
      <c r="J37" s="62"/>
      <c r="K37" s="71" t="s">
        <v>672</v>
      </c>
      <c r="L37" s="71" t="s">
        <v>673</v>
      </c>
      <c r="M37" s="54"/>
      <c r="N37" s="54"/>
      <c r="O37" s="39" t="s">
        <v>430</v>
      </c>
      <c r="P37" s="39" t="s">
        <v>439</v>
      </c>
      <c r="R37" s="103"/>
      <c r="S37" s="116"/>
      <c r="T37" s="39" t="s">
        <v>724</v>
      </c>
      <c r="U37" s="52"/>
      <c r="V37" s="222"/>
      <c r="W37" s="222"/>
      <c r="X37" s="222"/>
      <c r="Y37" s="222"/>
      <c r="Z37" s="222"/>
      <c r="AA37" s="103"/>
      <c r="AB37" s="53"/>
      <c r="AC37" s="53"/>
      <c r="AD37" s="53"/>
    </row>
    <row r="38" spans="1:30" s="61" customFormat="1" ht="25.5" x14ac:dyDescent="0.25">
      <c r="A38" s="103"/>
      <c r="C38" s="103"/>
      <c r="D38" s="207" t="s">
        <v>619</v>
      </c>
      <c r="E38" s="238"/>
      <c r="F38" s="54" t="s">
        <v>834</v>
      </c>
      <c r="G38" s="39" t="s">
        <v>572</v>
      </c>
      <c r="H38" s="39" t="s">
        <v>573</v>
      </c>
      <c r="I38" s="62"/>
      <c r="J38" s="62"/>
      <c r="K38" s="71" t="s">
        <v>674</v>
      </c>
      <c r="L38" s="71" t="s">
        <v>675</v>
      </c>
      <c r="M38" s="54"/>
      <c r="N38" s="54"/>
      <c r="O38" s="39" t="s">
        <v>441</v>
      </c>
      <c r="P38" s="39" t="s">
        <v>475</v>
      </c>
      <c r="R38" s="103"/>
      <c r="S38" s="116"/>
      <c r="T38" s="39" t="s">
        <v>725</v>
      </c>
      <c r="U38" s="52"/>
      <c r="V38" s="222"/>
      <c r="W38" s="222"/>
      <c r="X38" s="222"/>
      <c r="Y38" s="222"/>
      <c r="Z38" s="222"/>
      <c r="AA38" s="103"/>
      <c r="AB38" s="53"/>
      <c r="AC38" s="53"/>
      <c r="AD38" s="53"/>
    </row>
    <row r="39" spans="1:30" s="61" customFormat="1" ht="13.5" x14ac:dyDescent="0.25">
      <c r="A39" s="103"/>
      <c r="C39" s="103"/>
      <c r="D39" s="206"/>
      <c r="E39" s="238"/>
      <c r="F39" s="54" t="s">
        <v>835</v>
      </c>
      <c r="G39" s="39" t="s">
        <v>574</v>
      </c>
      <c r="H39" s="39" t="s">
        <v>575</v>
      </c>
      <c r="I39" s="62"/>
      <c r="J39" s="62"/>
      <c r="K39" s="71" t="s">
        <v>676</v>
      </c>
      <c r="L39" s="71" t="s">
        <v>677</v>
      </c>
      <c r="M39" s="54"/>
      <c r="N39" s="54"/>
      <c r="O39" s="39" t="s">
        <v>454</v>
      </c>
      <c r="P39" s="39" t="s">
        <v>719</v>
      </c>
      <c r="R39" s="103"/>
      <c r="S39" s="116"/>
      <c r="T39" s="39" t="s">
        <v>725</v>
      </c>
      <c r="U39" s="52"/>
      <c r="V39" s="222"/>
      <c r="W39" s="222"/>
      <c r="X39" s="222"/>
      <c r="Y39" s="222"/>
      <c r="Z39" s="222"/>
      <c r="AA39" s="103"/>
      <c r="AB39" s="53"/>
      <c r="AC39" s="53"/>
      <c r="AD39" s="53"/>
    </row>
    <row r="40" spans="1:30" s="61" customFormat="1" ht="25.5" x14ac:dyDescent="0.25">
      <c r="A40" s="103"/>
      <c r="C40" s="103"/>
      <c r="D40" s="207" t="s">
        <v>620</v>
      </c>
      <c r="E40" s="238"/>
      <c r="F40" s="54" t="s">
        <v>836</v>
      </c>
      <c r="G40" s="39" t="s">
        <v>576</v>
      </c>
      <c r="H40" s="39" t="s">
        <v>577</v>
      </c>
      <c r="I40" s="62"/>
      <c r="J40" s="62"/>
      <c r="K40" s="71" t="s">
        <v>678</v>
      </c>
      <c r="L40" s="71" t="s">
        <v>679</v>
      </c>
      <c r="M40" s="54"/>
      <c r="N40" s="54"/>
      <c r="O40" s="39" t="s">
        <v>447</v>
      </c>
      <c r="P40" s="39" t="s">
        <v>485</v>
      </c>
      <c r="R40" s="103"/>
      <c r="S40" s="116"/>
      <c r="T40" s="39" t="s">
        <v>725</v>
      </c>
      <c r="U40" s="52"/>
      <c r="V40" s="222"/>
      <c r="W40" s="222"/>
      <c r="X40" s="222"/>
      <c r="Y40" s="222"/>
      <c r="Z40" s="222"/>
      <c r="AA40" s="103"/>
      <c r="AB40" s="53"/>
      <c r="AC40" s="53"/>
      <c r="AD40" s="53"/>
    </row>
    <row r="41" spans="1:30" s="61" customFormat="1" ht="25.5" x14ac:dyDescent="0.25">
      <c r="A41" s="103"/>
      <c r="C41" s="103"/>
      <c r="D41" s="207" t="s">
        <v>621</v>
      </c>
      <c r="E41" s="238"/>
      <c r="F41" s="54" t="s">
        <v>837</v>
      </c>
      <c r="G41" s="39" t="s">
        <v>578</v>
      </c>
      <c r="H41" s="39" t="s">
        <v>579</v>
      </c>
      <c r="I41" s="62"/>
      <c r="J41" s="62"/>
      <c r="K41" s="71" t="s">
        <v>680</v>
      </c>
      <c r="L41" s="71" t="s">
        <v>681</v>
      </c>
      <c r="M41" s="54"/>
      <c r="N41" s="54"/>
      <c r="O41" s="39" t="s">
        <v>447</v>
      </c>
      <c r="P41" s="39" t="s">
        <v>485</v>
      </c>
      <c r="R41" s="103"/>
      <c r="S41" s="116"/>
      <c r="T41" s="39" t="s">
        <v>725</v>
      </c>
      <c r="U41" s="52"/>
      <c r="V41" s="222"/>
      <c r="W41" s="222"/>
      <c r="X41" s="222"/>
      <c r="Y41" s="222"/>
      <c r="Z41" s="222"/>
      <c r="AA41" s="103"/>
      <c r="AB41" s="53"/>
      <c r="AC41" s="53"/>
      <c r="AD41" s="53"/>
    </row>
    <row r="42" spans="1:30" s="61" customFormat="1" ht="102" x14ac:dyDescent="0.25">
      <c r="A42" s="103"/>
      <c r="C42" s="103"/>
      <c r="D42" s="207" t="s">
        <v>622</v>
      </c>
      <c r="E42" s="238"/>
      <c r="F42" s="54" t="s">
        <v>838</v>
      </c>
      <c r="G42" s="39" t="s">
        <v>580</v>
      </c>
      <c r="H42" s="39" t="s">
        <v>581</v>
      </c>
      <c r="I42" s="62"/>
      <c r="J42" s="62"/>
      <c r="K42" s="71" t="s">
        <v>682</v>
      </c>
      <c r="L42" s="71" t="s">
        <v>683</v>
      </c>
      <c r="M42" s="54"/>
      <c r="N42" s="54"/>
      <c r="O42" s="39" t="s">
        <v>441</v>
      </c>
      <c r="P42" s="39" t="s">
        <v>475</v>
      </c>
      <c r="R42" s="103"/>
      <c r="S42" s="116"/>
      <c r="T42" s="39" t="s">
        <v>726</v>
      </c>
      <c r="U42" s="52"/>
      <c r="V42" s="222"/>
      <c r="W42" s="222"/>
      <c r="X42" s="222"/>
      <c r="Y42" s="222"/>
      <c r="Z42" s="222"/>
      <c r="AA42" s="103"/>
      <c r="AB42" s="53"/>
      <c r="AC42" s="53"/>
      <c r="AD42" s="53"/>
    </row>
    <row r="43" spans="1:30" s="61" customFormat="1" ht="102" x14ac:dyDescent="0.25">
      <c r="A43" s="103"/>
      <c r="C43" s="103"/>
      <c r="D43" s="207" t="s">
        <v>623</v>
      </c>
      <c r="E43" s="238"/>
      <c r="F43" s="54" t="s">
        <v>839</v>
      </c>
      <c r="G43" s="39" t="s">
        <v>582</v>
      </c>
      <c r="H43" s="39" t="s">
        <v>583</v>
      </c>
      <c r="I43" s="62"/>
      <c r="J43" s="62"/>
      <c r="K43" s="71" t="s">
        <v>684</v>
      </c>
      <c r="L43" s="71" t="s">
        <v>685</v>
      </c>
      <c r="M43" s="54"/>
      <c r="N43" s="54"/>
      <c r="O43" s="39" t="s">
        <v>441</v>
      </c>
      <c r="P43" s="39" t="s">
        <v>475</v>
      </c>
      <c r="R43" s="103"/>
      <c r="S43" s="116"/>
      <c r="T43" s="39" t="s">
        <v>726</v>
      </c>
      <c r="U43" s="52"/>
      <c r="V43" s="222"/>
      <c r="W43" s="222"/>
      <c r="X43" s="222"/>
      <c r="Y43" s="222"/>
      <c r="Z43" s="222"/>
      <c r="AA43" s="103"/>
      <c r="AB43" s="53"/>
      <c r="AC43" s="53"/>
      <c r="AD43" s="53"/>
    </row>
    <row r="44" spans="1:30" s="61" customFormat="1" ht="102" x14ac:dyDescent="0.25">
      <c r="A44" s="103"/>
      <c r="C44" s="103"/>
      <c r="D44" s="207" t="s">
        <v>624</v>
      </c>
      <c r="E44" s="238"/>
      <c r="F44" s="54" t="s">
        <v>840</v>
      </c>
      <c r="G44" s="39" t="s">
        <v>584</v>
      </c>
      <c r="H44" s="39" t="s">
        <v>585</v>
      </c>
      <c r="I44" s="62"/>
      <c r="J44" s="62"/>
      <c r="K44" s="71" t="s">
        <v>686</v>
      </c>
      <c r="L44" s="71" t="s">
        <v>687</v>
      </c>
      <c r="M44" s="54"/>
      <c r="N44" s="54"/>
      <c r="O44" s="39" t="s">
        <v>441</v>
      </c>
      <c r="P44" s="39" t="s">
        <v>475</v>
      </c>
      <c r="R44" s="103"/>
      <c r="S44" s="116"/>
      <c r="T44" s="39" t="s">
        <v>726</v>
      </c>
      <c r="U44" s="52"/>
      <c r="V44" s="222"/>
      <c r="W44" s="222"/>
      <c r="X44" s="222"/>
      <c r="Y44" s="222"/>
      <c r="Z44" s="222"/>
      <c r="AA44" s="103"/>
      <c r="AB44" s="53"/>
      <c r="AC44" s="53"/>
      <c r="AD44" s="53"/>
    </row>
    <row r="45" spans="1:30" s="61" customFormat="1" ht="25.5" x14ac:dyDescent="0.25">
      <c r="A45" s="103"/>
      <c r="C45" s="103"/>
      <c r="D45" s="207" t="s">
        <v>625</v>
      </c>
      <c r="E45" s="238"/>
      <c r="F45" s="54" t="s">
        <v>841</v>
      </c>
      <c r="G45" s="39" t="s">
        <v>586</v>
      </c>
      <c r="H45" s="39" t="s">
        <v>587</v>
      </c>
      <c r="I45" s="62"/>
      <c r="J45" s="62"/>
      <c r="K45" s="71" t="s">
        <v>688</v>
      </c>
      <c r="L45" s="71" t="s">
        <v>689</v>
      </c>
      <c r="M45" s="54"/>
      <c r="N45" s="54"/>
      <c r="O45" s="39" t="s">
        <v>430</v>
      </c>
      <c r="P45" s="39" t="s">
        <v>439</v>
      </c>
      <c r="R45" s="103"/>
      <c r="S45" s="116"/>
      <c r="T45" s="210" t="s">
        <v>727</v>
      </c>
      <c r="U45" s="52"/>
      <c r="V45" s="222"/>
      <c r="W45" s="222"/>
      <c r="X45" s="222"/>
      <c r="Y45" s="222"/>
      <c r="Z45" s="222"/>
      <c r="AA45" s="103"/>
      <c r="AB45" s="53"/>
      <c r="AC45" s="53"/>
      <c r="AD45" s="53"/>
    </row>
    <row r="46" spans="1:30" s="61" customFormat="1" ht="25.5" x14ac:dyDescent="0.25">
      <c r="A46" s="103"/>
      <c r="C46" s="103"/>
      <c r="D46" s="207" t="s">
        <v>626</v>
      </c>
      <c r="E46" s="238"/>
      <c r="F46" s="54" t="s">
        <v>842</v>
      </c>
      <c r="G46" s="39" t="s">
        <v>588</v>
      </c>
      <c r="H46" s="39" t="s">
        <v>589</v>
      </c>
      <c r="I46" s="62"/>
      <c r="J46" s="62"/>
      <c r="K46" s="71" t="s">
        <v>690</v>
      </c>
      <c r="L46" s="71" t="s">
        <v>691</v>
      </c>
      <c r="M46" s="54"/>
      <c r="N46" s="54"/>
      <c r="O46" s="39" t="s">
        <v>454</v>
      </c>
      <c r="P46" s="39" t="s">
        <v>510</v>
      </c>
      <c r="R46" s="103"/>
      <c r="S46" s="116"/>
      <c r="T46" s="210" t="s">
        <v>727</v>
      </c>
      <c r="U46" s="52"/>
      <c r="V46" s="222"/>
      <c r="W46" s="222"/>
      <c r="X46" s="222"/>
      <c r="Y46" s="222"/>
      <c r="Z46" s="222"/>
      <c r="AA46" s="103"/>
      <c r="AB46" s="53"/>
      <c r="AC46" s="53"/>
      <c r="AD46" s="53"/>
    </row>
    <row r="47" spans="1:30" s="61" customFormat="1" ht="25.5" x14ac:dyDescent="0.25">
      <c r="A47" s="103"/>
      <c r="C47" s="103"/>
      <c r="D47" s="207" t="s">
        <v>627</v>
      </c>
      <c r="E47" s="238"/>
      <c r="F47" s="54" t="s">
        <v>843</v>
      </c>
      <c r="G47" s="39" t="s">
        <v>590</v>
      </c>
      <c r="H47" s="39" t="s">
        <v>591</v>
      </c>
      <c r="I47" s="62"/>
      <c r="J47" s="62"/>
      <c r="K47" s="71" t="s">
        <v>692</v>
      </c>
      <c r="L47" s="71" t="s">
        <v>693</v>
      </c>
      <c r="M47" s="54"/>
      <c r="N47" s="54"/>
      <c r="O47" s="39" t="s">
        <v>430</v>
      </c>
      <c r="P47" s="39" t="s">
        <v>439</v>
      </c>
      <c r="R47" s="103"/>
      <c r="S47" s="116"/>
      <c r="T47" s="210" t="s">
        <v>727</v>
      </c>
      <c r="U47" s="52"/>
      <c r="V47" s="222"/>
      <c r="W47" s="222"/>
      <c r="X47" s="222"/>
      <c r="Y47" s="222"/>
      <c r="Z47" s="222"/>
      <c r="AA47" s="103"/>
      <c r="AB47" s="53"/>
      <c r="AC47" s="53"/>
      <c r="AD47" s="53"/>
    </row>
    <row r="48" spans="1:30" s="61" customFormat="1" ht="25.5" x14ac:dyDescent="0.25">
      <c r="A48" s="103"/>
      <c r="C48" s="103"/>
      <c r="D48" s="207" t="s">
        <v>628</v>
      </c>
      <c r="E48" s="238"/>
      <c r="F48" s="54" t="s">
        <v>844</v>
      </c>
      <c r="G48" s="39" t="s">
        <v>592</v>
      </c>
      <c r="H48" s="39" t="s">
        <v>593</v>
      </c>
      <c r="I48" s="62"/>
      <c r="J48" s="62"/>
      <c r="K48" s="71" t="s">
        <v>694</v>
      </c>
      <c r="L48" s="71" t="s">
        <v>695</v>
      </c>
      <c r="M48" s="54"/>
      <c r="N48" s="54"/>
      <c r="O48" s="39" t="s">
        <v>454</v>
      </c>
      <c r="P48" s="39" t="s">
        <v>510</v>
      </c>
      <c r="R48" s="103"/>
      <c r="S48" s="116"/>
      <c r="T48" s="210" t="s">
        <v>727</v>
      </c>
      <c r="U48" s="52"/>
      <c r="V48" s="222"/>
      <c r="W48" s="222"/>
      <c r="X48" s="222"/>
      <c r="Y48" s="222"/>
      <c r="Z48" s="222"/>
      <c r="AA48" s="103"/>
      <c r="AB48" s="53"/>
      <c r="AC48" s="53"/>
      <c r="AD48" s="53"/>
    </row>
    <row r="49" spans="1:30" s="61" customFormat="1" ht="25.5" x14ac:dyDescent="0.25">
      <c r="A49" s="103"/>
      <c r="C49" s="103"/>
      <c r="D49" s="207" t="s">
        <v>629</v>
      </c>
      <c r="E49" s="238"/>
      <c r="F49" s="54" t="s">
        <v>845</v>
      </c>
      <c r="G49" s="39" t="s">
        <v>594</v>
      </c>
      <c r="H49" s="39" t="s">
        <v>595</v>
      </c>
      <c r="I49" s="62"/>
      <c r="J49" s="62"/>
      <c r="K49" s="71" t="s">
        <v>696</v>
      </c>
      <c r="L49" s="71" t="s">
        <v>697</v>
      </c>
      <c r="M49" s="54"/>
      <c r="N49" s="54"/>
      <c r="O49" s="39" t="s">
        <v>430</v>
      </c>
      <c r="P49" s="39" t="s">
        <v>439</v>
      </c>
      <c r="R49" s="103"/>
      <c r="S49" s="116"/>
      <c r="T49" s="210" t="s">
        <v>727</v>
      </c>
      <c r="U49" s="52"/>
      <c r="V49" s="222"/>
      <c r="W49" s="222"/>
      <c r="X49" s="222"/>
      <c r="Y49" s="222"/>
      <c r="Z49" s="222"/>
      <c r="AA49" s="103"/>
      <c r="AB49" s="53"/>
      <c r="AC49" s="53"/>
      <c r="AD49" s="53"/>
    </row>
    <row r="50" spans="1:30" s="61" customFormat="1" ht="15" x14ac:dyDescent="0.25">
      <c r="A50" s="103"/>
      <c r="C50" s="103"/>
      <c r="D50" s="207" t="s">
        <v>630</v>
      </c>
      <c r="E50" s="238"/>
      <c r="F50" s="54" t="s">
        <v>846</v>
      </c>
      <c r="G50" s="39" t="s">
        <v>596</v>
      </c>
      <c r="H50" s="39" t="s">
        <v>597</v>
      </c>
      <c r="I50" s="62"/>
      <c r="J50" s="62"/>
      <c r="K50" s="71" t="s">
        <v>698</v>
      </c>
      <c r="L50" s="71" t="s">
        <v>699</v>
      </c>
      <c r="M50" s="54"/>
      <c r="N50" s="54"/>
      <c r="O50" s="39" t="s">
        <v>454</v>
      </c>
      <c r="P50" s="39" t="s">
        <v>504</v>
      </c>
      <c r="R50" s="103"/>
      <c r="S50" s="116"/>
      <c r="T50" s="210" t="s">
        <v>727</v>
      </c>
      <c r="U50" s="52"/>
      <c r="V50" s="222"/>
      <c r="W50" s="222"/>
      <c r="X50" s="222"/>
      <c r="Y50" s="222"/>
      <c r="Z50" s="222"/>
      <c r="AA50" s="103"/>
      <c r="AB50" s="53"/>
      <c r="AC50" s="53"/>
      <c r="AD50" s="53"/>
    </row>
    <row r="51" spans="1:30" s="61" customFormat="1" ht="76.5" x14ac:dyDescent="0.25">
      <c r="A51" s="103"/>
      <c r="C51" s="103"/>
      <c r="D51" s="207" t="s">
        <v>631</v>
      </c>
      <c r="E51" s="238"/>
      <c r="F51" s="54" t="s">
        <v>847</v>
      </c>
      <c r="G51" s="39" t="s">
        <v>598</v>
      </c>
      <c r="H51" s="39" t="s">
        <v>599</v>
      </c>
      <c r="I51" s="62"/>
      <c r="J51" s="62"/>
      <c r="K51" s="71" t="s">
        <v>700</v>
      </c>
      <c r="L51" s="71" t="s">
        <v>701</v>
      </c>
      <c r="M51" s="54"/>
      <c r="N51" s="54"/>
      <c r="O51" s="39" t="s">
        <v>454</v>
      </c>
      <c r="P51" s="39" t="s">
        <v>487</v>
      </c>
      <c r="R51" s="103"/>
      <c r="S51" s="116"/>
      <c r="T51" s="210" t="s">
        <v>727</v>
      </c>
      <c r="U51" s="52"/>
      <c r="V51" s="222"/>
      <c r="W51" s="222"/>
      <c r="X51" s="222"/>
      <c r="Y51" s="222"/>
      <c r="Z51" s="222"/>
      <c r="AA51" s="103"/>
      <c r="AB51" s="53"/>
      <c r="AC51" s="53"/>
      <c r="AD51" s="53"/>
    </row>
    <row r="52" spans="1:30" s="61" customFormat="1" ht="25.5" x14ac:dyDescent="0.25">
      <c r="A52" s="103"/>
      <c r="C52" s="103"/>
      <c r="D52" s="207" t="s">
        <v>632</v>
      </c>
      <c r="E52" s="238"/>
      <c r="F52" s="54" t="s">
        <v>848</v>
      </c>
      <c r="G52" s="39" t="s">
        <v>600</v>
      </c>
      <c r="H52" s="39" t="s">
        <v>601</v>
      </c>
      <c r="I52" s="62"/>
      <c r="J52" s="62"/>
      <c r="K52" s="71" t="s">
        <v>702</v>
      </c>
      <c r="L52" s="71" t="s">
        <v>703</v>
      </c>
      <c r="M52" s="54"/>
      <c r="N52" s="54"/>
      <c r="O52" s="39" t="s">
        <v>430</v>
      </c>
      <c r="P52" s="39" t="s">
        <v>439</v>
      </c>
      <c r="R52" s="103"/>
      <c r="S52" s="116"/>
      <c r="T52" s="39" t="s">
        <v>728</v>
      </c>
      <c r="U52" s="52"/>
      <c r="V52" s="222"/>
      <c r="W52" s="222"/>
      <c r="X52" s="222"/>
      <c r="Y52" s="222"/>
      <c r="Z52" s="222"/>
      <c r="AA52" s="103"/>
      <c r="AB52" s="53"/>
      <c r="AC52" s="53"/>
      <c r="AD52" s="53"/>
    </row>
    <row r="53" spans="1:30" s="61" customFormat="1" ht="25.5" x14ac:dyDescent="0.25">
      <c r="A53" s="103"/>
      <c r="C53" s="103"/>
      <c r="D53" s="207" t="s">
        <v>633</v>
      </c>
      <c r="E53" s="238"/>
      <c r="F53" s="54" t="s">
        <v>849</v>
      </c>
      <c r="G53" s="39" t="s">
        <v>602</v>
      </c>
      <c r="H53" s="39" t="s">
        <v>603</v>
      </c>
      <c r="I53" s="62"/>
      <c r="J53" s="62"/>
      <c r="K53" s="71" t="s">
        <v>704</v>
      </c>
      <c r="L53" s="71" t="s">
        <v>705</v>
      </c>
      <c r="M53" s="54"/>
      <c r="N53" s="54"/>
      <c r="O53" s="39" t="s">
        <v>454</v>
      </c>
      <c r="P53" s="39" t="s">
        <v>489</v>
      </c>
      <c r="R53" s="103"/>
      <c r="S53" s="116"/>
      <c r="T53" s="39" t="s">
        <v>729</v>
      </c>
      <c r="U53" s="52"/>
      <c r="V53" s="222"/>
      <c r="W53" s="222"/>
      <c r="X53" s="222"/>
      <c r="Y53" s="222"/>
      <c r="Z53" s="222"/>
      <c r="AA53" s="103"/>
      <c r="AB53" s="53"/>
      <c r="AC53" s="53"/>
      <c r="AD53" s="53"/>
    </row>
    <row r="54" spans="1:30" s="61" customFormat="1" ht="38.25" x14ac:dyDescent="0.25">
      <c r="A54" s="103"/>
      <c r="C54" s="103"/>
      <c r="D54" s="207" t="s">
        <v>634</v>
      </c>
      <c r="E54" s="238"/>
      <c r="F54" s="54" t="s">
        <v>850</v>
      </c>
      <c r="G54" s="39" t="s">
        <v>604</v>
      </c>
      <c r="H54" s="39" t="s">
        <v>605</v>
      </c>
      <c r="I54" s="62"/>
      <c r="J54" s="62"/>
      <c r="K54" s="71" t="s">
        <v>706</v>
      </c>
      <c r="L54" s="71" t="s">
        <v>707</v>
      </c>
      <c r="M54" s="54"/>
      <c r="N54" s="54"/>
      <c r="O54" s="39" t="s">
        <v>454</v>
      </c>
      <c r="P54" s="39" t="s">
        <v>508</v>
      </c>
      <c r="R54" s="103"/>
      <c r="S54" s="116"/>
      <c r="T54" s="39" t="s">
        <v>729</v>
      </c>
      <c r="U54" s="52"/>
      <c r="V54" s="222"/>
      <c r="W54" s="222"/>
      <c r="X54" s="222"/>
      <c r="Y54" s="222"/>
      <c r="Z54" s="222"/>
      <c r="AA54" s="103"/>
      <c r="AB54" s="53"/>
      <c r="AC54" s="53"/>
      <c r="AD54" s="53"/>
    </row>
    <row r="55" spans="1:30" s="61" customFormat="1" ht="15" x14ac:dyDescent="0.25">
      <c r="A55" s="103"/>
      <c r="C55" s="103"/>
      <c r="D55" s="207" t="s">
        <v>635</v>
      </c>
      <c r="E55" s="238"/>
      <c r="F55" s="54" t="s">
        <v>851</v>
      </c>
      <c r="G55" s="39" t="s">
        <v>606</v>
      </c>
      <c r="H55" s="39" t="s">
        <v>607</v>
      </c>
      <c r="I55" s="62"/>
      <c r="J55" s="62"/>
      <c r="K55" s="71" t="s">
        <v>708</v>
      </c>
      <c r="L55" s="71" t="s">
        <v>709</v>
      </c>
      <c r="M55" s="54"/>
      <c r="N55" s="54"/>
      <c r="O55" s="39" t="s">
        <v>454</v>
      </c>
      <c r="P55" s="39" t="s">
        <v>489</v>
      </c>
      <c r="R55" s="103"/>
      <c r="S55" s="116"/>
      <c r="T55" s="39" t="s">
        <v>729</v>
      </c>
      <c r="U55" s="52"/>
      <c r="V55" s="222"/>
      <c r="W55" s="222"/>
      <c r="X55" s="222"/>
      <c r="Y55" s="222"/>
      <c r="Z55" s="222"/>
      <c r="AA55" s="103"/>
      <c r="AB55" s="53"/>
      <c r="AC55" s="53"/>
      <c r="AD55" s="53"/>
    </row>
    <row r="56" spans="1:30" s="61" customFormat="1" ht="38.25" x14ac:dyDescent="0.25">
      <c r="A56" s="103"/>
      <c r="C56" s="103"/>
      <c r="D56" s="207" t="s">
        <v>636</v>
      </c>
      <c r="E56" s="238"/>
      <c r="F56" s="54" t="s">
        <v>852</v>
      </c>
      <c r="G56" s="39" t="s">
        <v>608</v>
      </c>
      <c r="H56" s="39" t="s">
        <v>609</v>
      </c>
      <c r="I56" s="62"/>
      <c r="J56" s="62"/>
      <c r="K56" s="71" t="s">
        <v>710</v>
      </c>
      <c r="L56" s="71" t="s">
        <v>711</v>
      </c>
      <c r="M56" s="54"/>
      <c r="N56" s="54"/>
      <c r="O56" s="39" t="s">
        <v>454</v>
      </c>
      <c r="P56" s="39" t="s">
        <v>508</v>
      </c>
      <c r="R56" s="103"/>
      <c r="S56" s="116"/>
      <c r="T56" s="39" t="s">
        <v>729</v>
      </c>
      <c r="U56" s="52"/>
      <c r="V56" s="222"/>
      <c r="W56" s="222"/>
      <c r="X56" s="222"/>
      <c r="Y56" s="222"/>
      <c r="Z56" s="222"/>
      <c r="AA56" s="103"/>
      <c r="AB56" s="53"/>
      <c r="AC56" s="53"/>
      <c r="AD56" s="53"/>
    </row>
    <row r="57" spans="1:30" s="61" customFormat="1" ht="63.75" x14ac:dyDescent="0.25">
      <c r="A57" s="103"/>
      <c r="C57" s="103"/>
      <c r="D57" s="206"/>
      <c r="E57" s="238"/>
      <c r="F57" s="54" t="s">
        <v>853</v>
      </c>
      <c r="G57" s="39" t="s">
        <v>610</v>
      </c>
      <c r="H57" s="39" t="s">
        <v>611</v>
      </c>
      <c r="I57" s="62"/>
      <c r="J57" s="62"/>
      <c r="K57" s="71" t="s">
        <v>712</v>
      </c>
      <c r="L57" s="71" t="s">
        <v>713</v>
      </c>
      <c r="M57" s="54"/>
      <c r="N57" s="54"/>
      <c r="O57" s="39" t="s">
        <v>454</v>
      </c>
      <c r="P57" s="39" t="s">
        <v>489</v>
      </c>
      <c r="R57" s="103"/>
      <c r="S57" s="116"/>
      <c r="T57" s="39" t="s">
        <v>729</v>
      </c>
      <c r="U57" s="52"/>
      <c r="V57" s="222"/>
      <c r="W57" s="222"/>
      <c r="X57" s="222"/>
      <c r="Y57" s="222"/>
      <c r="Z57" s="222"/>
      <c r="AA57" s="103"/>
      <c r="AB57" s="53"/>
      <c r="AC57" s="53"/>
      <c r="AD57" s="53"/>
    </row>
    <row r="58" spans="1:30" s="61" customFormat="1" ht="15" x14ac:dyDescent="0.25">
      <c r="A58" s="103"/>
      <c r="C58" s="103"/>
      <c r="D58" s="207" t="s">
        <v>637</v>
      </c>
      <c r="E58" s="238"/>
      <c r="F58" s="54" t="s">
        <v>854</v>
      </c>
      <c r="G58" s="39" t="s">
        <v>612</v>
      </c>
      <c r="H58" s="39" t="s">
        <v>613</v>
      </c>
      <c r="I58" s="62"/>
      <c r="J58" s="62"/>
      <c r="K58" s="208"/>
      <c r="L58" s="87"/>
      <c r="M58" s="54"/>
      <c r="N58" s="54"/>
      <c r="O58" s="39" t="s">
        <v>454</v>
      </c>
      <c r="P58" s="39" t="s">
        <v>719</v>
      </c>
      <c r="R58" s="103"/>
      <c r="S58" s="116"/>
      <c r="T58" s="39" t="s">
        <v>729</v>
      </c>
      <c r="U58" s="52"/>
      <c r="V58" s="222"/>
      <c r="W58" s="222"/>
      <c r="X58" s="222"/>
      <c r="Y58" s="222"/>
      <c r="Z58" s="222"/>
      <c r="AA58" s="103"/>
      <c r="AB58" s="53"/>
      <c r="AC58" s="53"/>
      <c r="AD58" s="53"/>
    </row>
    <row r="59" spans="1:30" s="61" customFormat="1" ht="51" x14ac:dyDescent="0.25">
      <c r="A59" s="103"/>
      <c r="C59" s="103"/>
      <c r="D59" s="207"/>
      <c r="E59" s="238"/>
      <c r="F59" s="54" t="s">
        <v>855</v>
      </c>
      <c r="G59" s="39" t="s">
        <v>614</v>
      </c>
      <c r="H59" s="39" t="s">
        <v>615</v>
      </c>
      <c r="I59" s="62"/>
      <c r="J59" s="62"/>
      <c r="K59" s="71" t="s">
        <v>714</v>
      </c>
      <c r="L59" s="71" t="s">
        <v>715</v>
      </c>
      <c r="M59" s="54"/>
      <c r="N59" s="54"/>
      <c r="O59" s="39" t="s">
        <v>430</v>
      </c>
      <c r="P59" s="39" t="s">
        <v>439</v>
      </c>
      <c r="Q59" s="54"/>
      <c r="R59" s="103"/>
      <c r="S59" s="116"/>
      <c r="T59" s="210"/>
      <c r="U59" s="52"/>
      <c r="V59" s="222"/>
      <c r="W59" s="222"/>
      <c r="X59" s="222"/>
      <c r="Y59" s="222"/>
      <c r="Z59" s="222"/>
      <c r="AA59" s="103"/>
      <c r="AB59" s="53"/>
      <c r="AC59" s="53"/>
      <c r="AD59" s="53"/>
    </row>
    <row r="60" spans="1:30" s="61" customFormat="1" ht="38.25" x14ac:dyDescent="0.25">
      <c r="A60" s="103"/>
      <c r="C60" s="103"/>
      <c r="D60" s="206"/>
      <c r="E60" s="238"/>
      <c r="F60" s="54" t="s">
        <v>856</v>
      </c>
      <c r="G60" s="39" t="s">
        <v>616</v>
      </c>
      <c r="H60" s="39" t="s">
        <v>617</v>
      </c>
      <c r="I60" s="62"/>
      <c r="J60" s="62"/>
      <c r="K60" s="71" t="s">
        <v>716</v>
      </c>
      <c r="L60" s="71" t="s">
        <v>717</v>
      </c>
      <c r="M60" s="54"/>
      <c r="N60" s="54"/>
      <c r="O60" s="39" t="s">
        <v>441</v>
      </c>
      <c r="P60" s="39" t="s">
        <v>475</v>
      </c>
      <c r="Q60" s="54"/>
      <c r="R60" s="103"/>
      <c r="S60" s="116"/>
      <c r="T60" s="210"/>
      <c r="U60" s="52"/>
      <c r="V60" s="222"/>
      <c r="W60" s="222"/>
      <c r="X60" s="222"/>
      <c r="Y60" s="222"/>
      <c r="Z60" s="222"/>
      <c r="AA60" s="103"/>
      <c r="AB60" s="53"/>
      <c r="AC60" s="53"/>
      <c r="AD60" s="53"/>
    </row>
    <row r="61" spans="1:30" ht="13.5" customHeight="1" x14ac:dyDescent="0.25">
      <c r="H61" s="64"/>
      <c r="I61" s="64"/>
      <c r="J61" s="64"/>
      <c r="K61" s="64"/>
      <c r="L61" s="64"/>
      <c r="U61" s="190"/>
      <c r="V61" s="190"/>
      <c r="W61" s="190"/>
      <c r="X61" s="190"/>
      <c r="Y61" s="190"/>
      <c r="Z61" s="190"/>
    </row>
    <row r="62" spans="1:30" ht="13.5" customHeight="1" x14ac:dyDescent="0.25">
      <c r="H62" s="64"/>
      <c r="I62" s="64"/>
      <c r="J62" s="64"/>
      <c r="K62" s="64"/>
      <c r="L62" s="64"/>
      <c r="U62" s="190"/>
      <c r="V62" s="190"/>
      <c r="W62" s="190"/>
      <c r="X62" s="190"/>
      <c r="Y62" s="190"/>
      <c r="Z62" s="190"/>
    </row>
    <row r="63" spans="1:30" ht="13.5" customHeight="1" x14ac:dyDescent="0.25">
      <c r="H63" s="64"/>
      <c r="I63" s="64"/>
      <c r="J63" s="64"/>
      <c r="K63" s="64"/>
      <c r="L63" s="64"/>
      <c r="U63" s="190"/>
      <c r="V63" s="190"/>
      <c r="W63" s="190"/>
      <c r="X63" s="190"/>
      <c r="Y63" s="190"/>
      <c r="Z63" s="190"/>
    </row>
    <row r="64" spans="1:30" ht="13.5" customHeight="1" x14ac:dyDescent="0.25">
      <c r="H64" s="64"/>
      <c r="I64" s="64"/>
      <c r="J64" s="64"/>
      <c r="K64" s="64"/>
      <c r="L64" s="64"/>
      <c r="U64" s="190"/>
      <c r="V64" s="190"/>
      <c r="W64" s="190"/>
      <c r="X64" s="190"/>
      <c r="Y64" s="190"/>
      <c r="Z64" s="190"/>
    </row>
    <row r="65" spans="8:26" ht="13.5" customHeight="1" x14ac:dyDescent="0.25">
      <c r="H65" s="64"/>
      <c r="I65" s="64"/>
      <c r="J65" s="64"/>
      <c r="K65" s="64"/>
      <c r="L65" s="64"/>
      <c r="U65" s="190"/>
      <c r="V65" s="190"/>
      <c r="W65" s="190"/>
      <c r="X65" s="190"/>
      <c r="Y65" s="190"/>
      <c r="Z65" s="190"/>
    </row>
    <row r="66" spans="8:26" ht="13.5" customHeight="1" x14ac:dyDescent="0.25">
      <c r="H66" s="64"/>
      <c r="I66" s="64"/>
      <c r="J66" s="64"/>
      <c r="K66" s="64"/>
      <c r="L66" s="64"/>
      <c r="U66" s="190"/>
      <c r="V66" s="190"/>
      <c r="W66" s="190"/>
      <c r="X66" s="190"/>
      <c r="Y66" s="190"/>
      <c r="Z66" s="190"/>
    </row>
    <row r="67" spans="8:26" ht="13.5" customHeight="1" x14ac:dyDescent="0.25">
      <c r="H67" s="64"/>
      <c r="I67" s="64"/>
      <c r="J67" s="64"/>
      <c r="K67" s="64"/>
      <c r="L67" s="64"/>
      <c r="U67" s="190"/>
      <c r="V67" s="190"/>
      <c r="W67" s="190"/>
      <c r="X67" s="190"/>
      <c r="Y67" s="190"/>
      <c r="Z67" s="190"/>
    </row>
    <row r="68" spans="8:26" ht="13.5" customHeight="1" x14ac:dyDescent="0.25">
      <c r="H68" s="64"/>
      <c r="I68" s="64"/>
      <c r="J68" s="64"/>
      <c r="K68" s="64"/>
      <c r="L68" s="64"/>
      <c r="U68" s="190"/>
      <c r="V68" s="190"/>
      <c r="W68" s="190"/>
      <c r="X68" s="190"/>
      <c r="Y68" s="190"/>
      <c r="Z68" s="190"/>
    </row>
    <row r="69" spans="8:26" ht="13.5" customHeight="1" x14ac:dyDescent="0.25">
      <c r="H69" s="64"/>
      <c r="I69" s="64"/>
      <c r="J69" s="64"/>
      <c r="K69" s="64"/>
      <c r="L69" s="64"/>
      <c r="U69" s="190"/>
      <c r="V69" s="190"/>
      <c r="W69" s="190"/>
      <c r="X69" s="190"/>
      <c r="Y69" s="190"/>
      <c r="Z69" s="190"/>
    </row>
    <row r="70" spans="8:26" ht="13.5" customHeight="1" x14ac:dyDescent="0.25">
      <c r="H70" s="64"/>
      <c r="I70" s="64"/>
      <c r="J70" s="64"/>
      <c r="K70" s="64"/>
      <c r="L70" s="64"/>
      <c r="U70" s="190"/>
      <c r="V70" s="190"/>
      <c r="W70" s="190"/>
      <c r="X70" s="190"/>
      <c r="Y70" s="190"/>
      <c r="Z70" s="190"/>
    </row>
    <row r="71" spans="8:26" ht="13.5" customHeight="1" x14ac:dyDescent="0.25">
      <c r="H71" s="64"/>
      <c r="I71" s="64"/>
      <c r="J71" s="64"/>
      <c r="K71" s="64"/>
      <c r="L71" s="64"/>
      <c r="U71" s="190"/>
      <c r="V71" s="190"/>
      <c r="W71" s="190"/>
      <c r="X71" s="190"/>
      <c r="Y71" s="190"/>
      <c r="Z71" s="190"/>
    </row>
    <row r="72" spans="8:26" ht="13.5" customHeight="1" x14ac:dyDescent="0.25">
      <c r="H72" s="64"/>
      <c r="I72" s="64"/>
      <c r="J72" s="64"/>
      <c r="K72" s="64"/>
      <c r="L72" s="64"/>
      <c r="U72" s="190"/>
      <c r="V72" s="190"/>
      <c r="W72" s="190"/>
      <c r="X72" s="190"/>
      <c r="Y72" s="190"/>
      <c r="Z72" s="190"/>
    </row>
    <row r="73" spans="8:26" ht="13.5" customHeight="1" x14ac:dyDescent="0.25">
      <c r="H73" s="64"/>
      <c r="I73" s="64"/>
      <c r="J73" s="64"/>
      <c r="K73" s="64"/>
      <c r="L73" s="64"/>
      <c r="U73" s="190"/>
      <c r="V73" s="190"/>
      <c r="W73" s="190"/>
      <c r="X73" s="190"/>
      <c r="Y73" s="190"/>
      <c r="Z73" s="190"/>
    </row>
    <row r="74" spans="8:26" ht="13.5" customHeight="1" x14ac:dyDescent="0.25">
      <c r="H74" s="64"/>
      <c r="I74" s="64"/>
      <c r="J74" s="64"/>
      <c r="K74" s="64"/>
      <c r="L74" s="64"/>
      <c r="U74" s="190"/>
      <c r="V74" s="190"/>
      <c r="W74" s="190"/>
      <c r="X74" s="190"/>
      <c r="Y74" s="190"/>
      <c r="Z74" s="190"/>
    </row>
    <row r="75" spans="8:26" ht="13.5" customHeight="1" x14ac:dyDescent="0.25">
      <c r="H75" s="64"/>
      <c r="I75" s="64"/>
      <c r="J75" s="64"/>
      <c r="K75" s="64"/>
      <c r="L75" s="64"/>
      <c r="U75" s="190"/>
      <c r="V75" s="190"/>
      <c r="W75" s="190"/>
      <c r="X75" s="190"/>
      <c r="Y75" s="190"/>
      <c r="Z75" s="190"/>
    </row>
    <row r="76" spans="8:26" ht="13.5" customHeight="1" x14ac:dyDescent="0.25">
      <c r="H76" s="64"/>
      <c r="I76" s="64"/>
      <c r="J76" s="64"/>
      <c r="K76" s="64"/>
      <c r="L76" s="64"/>
      <c r="U76" s="190"/>
      <c r="V76" s="190"/>
      <c r="W76" s="190"/>
      <c r="X76" s="190"/>
      <c r="Y76" s="190"/>
      <c r="Z76" s="190"/>
    </row>
    <row r="77" spans="8:26" ht="13.5" customHeight="1" x14ac:dyDescent="0.25">
      <c r="H77" s="64"/>
      <c r="I77" s="64"/>
      <c r="J77" s="64"/>
      <c r="K77" s="64"/>
      <c r="L77" s="64"/>
      <c r="U77" s="190"/>
      <c r="V77" s="190"/>
      <c r="W77" s="190"/>
      <c r="X77" s="190"/>
      <c r="Y77" s="190"/>
      <c r="Z77" s="190"/>
    </row>
    <row r="78" spans="8:26" ht="13.5" customHeight="1" x14ac:dyDescent="0.25">
      <c r="H78" s="64"/>
      <c r="I78" s="64"/>
      <c r="J78" s="64"/>
      <c r="K78" s="64"/>
      <c r="L78" s="64"/>
      <c r="U78" s="190"/>
      <c r="V78" s="190"/>
      <c r="W78" s="190"/>
      <c r="X78" s="190"/>
      <c r="Y78" s="190"/>
      <c r="Z78" s="190"/>
    </row>
    <row r="79" spans="8:26" ht="13.5" customHeight="1" x14ac:dyDescent="0.25">
      <c r="H79" s="64"/>
      <c r="I79" s="64"/>
      <c r="J79" s="64"/>
      <c r="K79" s="64"/>
      <c r="L79" s="64"/>
      <c r="U79" s="190"/>
      <c r="V79" s="190"/>
      <c r="W79" s="190"/>
      <c r="X79" s="190"/>
      <c r="Y79" s="190"/>
      <c r="Z79" s="190"/>
    </row>
    <row r="80" spans="8:26" ht="13.5" customHeight="1" x14ac:dyDescent="0.25">
      <c r="H80" s="64"/>
      <c r="I80" s="64"/>
      <c r="J80" s="64"/>
      <c r="K80" s="64"/>
      <c r="L80" s="64"/>
      <c r="U80" s="190"/>
      <c r="V80" s="190"/>
      <c r="W80" s="190"/>
      <c r="X80" s="190"/>
      <c r="Y80" s="190"/>
      <c r="Z80" s="190"/>
    </row>
    <row r="81" spans="8:26" ht="13.5" customHeight="1" x14ac:dyDescent="0.25">
      <c r="H81" s="64"/>
      <c r="I81" s="64"/>
      <c r="J81" s="64"/>
      <c r="K81" s="64"/>
      <c r="L81" s="64"/>
      <c r="U81" s="190"/>
      <c r="V81" s="190"/>
      <c r="W81" s="190"/>
      <c r="X81" s="190"/>
      <c r="Y81" s="190"/>
      <c r="Z81" s="190"/>
    </row>
    <row r="82" spans="8:26" ht="13.5" customHeight="1" x14ac:dyDescent="0.25">
      <c r="H82" s="64"/>
      <c r="I82" s="64"/>
      <c r="J82" s="64"/>
      <c r="K82" s="64"/>
      <c r="L82" s="64"/>
      <c r="U82" s="190"/>
      <c r="V82" s="190"/>
      <c r="W82" s="190"/>
      <c r="X82" s="190"/>
      <c r="Y82" s="190"/>
      <c r="Z82" s="190"/>
    </row>
    <row r="83" spans="8:26" ht="13.5" customHeight="1" x14ac:dyDescent="0.25">
      <c r="H83" s="64"/>
      <c r="I83" s="64"/>
      <c r="J83" s="64"/>
      <c r="K83" s="64"/>
      <c r="L83" s="64"/>
      <c r="U83" s="190"/>
      <c r="V83" s="190"/>
      <c r="W83" s="190"/>
      <c r="X83" s="190"/>
      <c r="Y83" s="190"/>
      <c r="Z83" s="190"/>
    </row>
    <row r="84" spans="8:26" ht="13.5" customHeight="1" x14ac:dyDescent="0.25">
      <c r="H84" s="64"/>
      <c r="I84" s="64"/>
      <c r="J84" s="64"/>
      <c r="K84" s="64"/>
      <c r="L84" s="64"/>
      <c r="U84" s="190"/>
      <c r="V84" s="190"/>
      <c r="W84" s="190"/>
      <c r="X84" s="190"/>
      <c r="Y84" s="190"/>
      <c r="Z84" s="190"/>
    </row>
    <row r="85" spans="8:26" ht="13.5" customHeight="1" x14ac:dyDescent="0.25">
      <c r="H85" s="64"/>
      <c r="I85" s="64"/>
      <c r="J85" s="64"/>
      <c r="K85" s="64"/>
      <c r="L85" s="64"/>
      <c r="U85" s="190"/>
      <c r="V85" s="190"/>
      <c r="W85" s="190"/>
      <c r="X85" s="190"/>
      <c r="Y85" s="190"/>
      <c r="Z85" s="190"/>
    </row>
    <row r="86" spans="8:26" ht="13.5" customHeight="1" x14ac:dyDescent="0.25">
      <c r="H86" s="64"/>
      <c r="I86" s="64"/>
      <c r="J86" s="64"/>
      <c r="K86" s="64"/>
      <c r="L86" s="64"/>
      <c r="U86" s="190"/>
      <c r="V86" s="190"/>
      <c r="W86" s="190"/>
      <c r="X86" s="190"/>
      <c r="Y86" s="190"/>
      <c r="Z86" s="190"/>
    </row>
    <row r="87" spans="8:26" ht="13.5" customHeight="1" x14ac:dyDescent="0.25">
      <c r="H87" s="64"/>
      <c r="I87" s="64"/>
      <c r="J87" s="64"/>
      <c r="K87" s="64"/>
      <c r="L87" s="64"/>
      <c r="U87" s="190"/>
      <c r="V87" s="190"/>
      <c r="W87" s="190"/>
      <c r="X87" s="190"/>
      <c r="Y87" s="190"/>
      <c r="Z87" s="190"/>
    </row>
    <row r="88" spans="8:26" ht="13.5" customHeight="1" x14ac:dyDescent="0.25">
      <c r="H88" s="64"/>
      <c r="I88" s="64"/>
      <c r="J88" s="64"/>
      <c r="K88" s="64"/>
      <c r="L88" s="64"/>
      <c r="U88" s="190"/>
      <c r="V88" s="190"/>
      <c r="W88" s="190"/>
      <c r="X88" s="190"/>
      <c r="Y88" s="190"/>
      <c r="Z88" s="190"/>
    </row>
    <row r="89" spans="8:26" ht="13.5" customHeight="1" x14ac:dyDescent="0.25">
      <c r="H89" s="64"/>
      <c r="I89" s="64"/>
      <c r="J89" s="64"/>
      <c r="K89" s="64"/>
      <c r="L89" s="64"/>
      <c r="U89" s="190"/>
      <c r="V89" s="190"/>
      <c r="W89" s="190"/>
      <c r="X89" s="190"/>
      <c r="Y89" s="190"/>
      <c r="Z89" s="190"/>
    </row>
    <row r="90" spans="8:26" ht="13.5" customHeight="1" x14ac:dyDescent="0.25">
      <c r="H90" s="64"/>
      <c r="I90" s="64"/>
      <c r="J90" s="64"/>
      <c r="K90" s="64"/>
      <c r="L90" s="64"/>
      <c r="U90" s="190"/>
      <c r="V90" s="190"/>
      <c r="W90" s="190"/>
      <c r="X90" s="190"/>
      <c r="Y90" s="190"/>
      <c r="Z90" s="190"/>
    </row>
    <row r="91" spans="8:26" ht="13.5" customHeight="1" x14ac:dyDescent="0.25">
      <c r="H91" s="64"/>
      <c r="I91" s="64"/>
      <c r="J91" s="64"/>
      <c r="K91" s="64"/>
      <c r="L91" s="64"/>
      <c r="U91" s="190"/>
      <c r="V91" s="190"/>
      <c r="W91" s="190"/>
      <c r="X91" s="190"/>
      <c r="Y91" s="190"/>
      <c r="Z91" s="190"/>
    </row>
    <row r="92" spans="8:26" ht="13.5" customHeight="1" x14ac:dyDescent="0.25">
      <c r="H92" s="64"/>
      <c r="I92" s="64"/>
      <c r="J92" s="64"/>
      <c r="K92" s="64"/>
      <c r="L92" s="64"/>
      <c r="U92" s="190"/>
      <c r="V92" s="190"/>
      <c r="W92" s="190"/>
      <c r="X92" s="190"/>
      <c r="Y92" s="190"/>
      <c r="Z92" s="190"/>
    </row>
    <row r="93" spans="8:26" ht="13.5" customHeight="1" x14ac:dyDescent="0.25">
      <c r="H93" s="64"/>
      <c r="I93" s="64"/>
      <c r="J93" s="64"/>
      <c r="K93" s="64"/>
      <c r="L93" s="64"/>
      <c r="U93" s="190"/>
      <c r="V93" s="190"/>
      <c r="W93" s="190"/>
      <c r="X93" s="190"/>
      <c r="Y93" s="190"/>
      <c r="Z93" s="190"/>
    </row>
    <row r="94" spans="8:26" ht="13.5" customHeight="1" x14ac:dyDescent="0.25">
      <c r="H94" s="64"/>
      <c r="I94" s="64"/>
      <c r="J94" s="64"/>
      <c r="K94" s="64"/>
      <c r="L94" s="64"/>
      <c r="U94" s="190"/>
      <c r="V94" s="190"/>
      <c r="W94" s="190"/>
      <c r="X94" s="190"/>
      <c r="Y94" s="190"/>
      <c r="Z94" s="190"/>
    </row>
    <row r="95" spans="8:26" ht="13.5" customHeight="1" x14ac:dyDescent="0.25">
      <c r="H95" s="64"/>
      <c r="I95" s="64"/>
      <c r="J95" s="64"/>
      <c r="K95" s="64"/>
      <c r="L95" s="64"/>
      <c r="U95" s="190"/>
      <c r="V95" s="190"/>
      <c r="W95" s="190"/>
      <c r="X95" s="190"/>
      <c r="Y95" s="190"/>
      <c r="Z95" s="190"/>
    </row>
    <row r="96" spans="8:26" ht="13.5" customHeight="1" x14ac:dyDescent="0.25">
      <c r="H96" s="64"/>
      <c r="I96" s="64"/>
      <c r="J96" s="64"/>
      <c r="K96" s="64"/>
      <c r="L96" s="64"/>
      <c r="U96" s="190"/>
      <c r="V96" s="190"/>
      <c r="W96" s="190"/>
      <c r="X96" s="190"/>
      <c r="Y96" s="190"/>
      <c r="Z96" s="190"/>
    </row>
    <row r="97" spans="8:26" ht="13.5" customHeight="1" x14ac:dyDescent="0.25">
      <c r="H97" s="64"/>
      <c r="I97" s="64"/>
      <c r="J97" s="64"/>
      <c r="K97" s="64"/>
      <c r="L97" s="64"/>
      <c r="U97" s="190"/>
      <c r="V97" s="190"/>
      <c r="W97" s="190"/>
      <c r="X97" s="190"/>
      <c r="Y97" s="190"/>
      <c r="Z97" s="190"/>
    </row>
    <row r="98" spans="8:26" ht="13.5" customHeight="1" x14ac:dyDescent="0.25">
      <c r="H98" s="64"/>
      <c r="I98" s="64"/>
      <c r="J98" s="64"/>
      <c r="K98" s="64"/>
      <c r="L98" s="64"/>
      <c r="U98" s="190"/>
      <c r="V98" s="190"/>
      <c r="W98" s="190"/>
      <c r="X98" s="190"/>
      <c r="Y98" s="190"/>
      <c r="Z98" s="190"/>
    </row>
    <row r="99" spans="8:26" ht="13.5" customHeight="1" x14ac:dyDescent="0.25">
      <c r="H99" s="64"/>
      <c r="I99" s="64"/>
      <c r="J99" s="64"/>
      <c r="K99" s="64"/>
      <c r="L99" s="64"/>
      <c r="U99" s="190"/>
      <c r="V99" s="190"/>
      <c r="W99" s="190"/>
      <c r="X99" s="190"/>
      <c r="Y99" s="190"/>
      <c r="Z99" s="190"/>
    </row>
    <row r="100" spans="8:26" ht="13.5" customHeight="1" x14ac:dyDescent="0.25">
      <c r="H100" s="64"/>
      <c r="I100" s="64"/>
      <c r="J100" s="64"/>
      <c r="K100" s="64"/>
      <c r="L100" s="64"/>
      <c r="U100" s="190"/>
      <c r="V100" s="190"/>
      <c r="W100" s="190"/>
      <c r="X100" s="190"/>
      <c r="Y100" s="190"/>
      <c r="Z100" s="190"/>
    </row>
    <row r="101" spans="8:26" ht="13.5" customHeight="1" x14ac:dyDescent="0.25">
      <c r="H101" s="64"/>
      <c r="I101" s="64"/>
      <c r="J101" s="64"/>
      <c r="K101" s="64"/>
      <c r="L101" s="64"/>
      <c r="U101" s="190"/>
      <c r="V101" s="190"/>
      <c r="W101" s="190"/>
      <c r="X101" s="190"/>
      <c r="Y101" s="190"/>
      <c r="Z101" s="190"/>
    </row>
    <row r="102" spans="8:26" ht="13.5" customHeight="1" x14ac:dyDescent="0.25">
      <c r="H102" s="64"/>
      <c r="I102" s="64"/>
      <c r="J102" s="64"/>
      <c r="K102" s="64"/>
      <c r="L102" s="64"/>
      <c r="U102" s="190"/>
      <c r="V102" s="190"/>
      <c r="W102" s="190"/>
      <c r="X102" s="190"/>
      <c r="Y102" s="190"/>
      <c r="Z102" s="190"/>
    </row>
    <row r="103" spans="8:26" ht="13.5" customHeight="1" x14ac:dyDescent="0.25">
      <c r="H103" s="64"/>
      <c r="I103" s="64"/>
      <c r="J103" s="64"/>
      <c r="K103" s="64"/>
      <c r="L103" s="64"/>
      <c r="U103" s="190"/>
      <c r="V103" s="190"/>
      <c r="W103" s="190"/>
      <c r="X103" s="190"/>
      <c r="Y103" s="190"/>
      <c r="Z103" s="190"/>
    </row>
    <row r="104" spans="8:26" ht="13.5" customHeight="1" x14ac:dyDescent="0.25">
      <c r="H104" s="64"/>
      <c r="I104" s="64"/>
      <c r="J104" s="64"/>
      <c r="K104" s="64"/>
      <c r="L104" s="64"/>
      <c r="U104" s="190"/>
      <c r="V104" s="190"/>
      <c r="W104" s="190"/>
      <c r="X104" s="190"/>
      <c r="Y104" s="190"/>
      <c r="Z104" s="190"/>
    </row>
    <row r="105" spans="8:26" ht="13.5" customHeight="1" x14ac:dyDescent="0.25">
      <c r="H105" s="64"/>
      <c r="I105" s="64"/>
      <c r="J105" s="64"/>
      <c r="K105" s="64"/>
      <c r="L105" s="64"/>
      <c r="U105" s="190"/>
      <c r="V105" s="190"/>
      <c r="W105" s="190"/>
      <c r="X105" s="190"/>
      <c r="Y105" s="190"/>
      <c r="Z105" s="190"/>
    </row>
    <row r="106" spans="8:26" ht="13.5" customHeight="1" x14ac:dyDescent="0.25">
      <c r="H106" s="64"/>
      <c r="I106" s="64"/>
      <c r="J106" s="64"/>
      <c r="K106" s="64"/>
      <c r="L106" s="64"/>
      <c r="U106" s="190"/>
      <c r="V106" s="190"/>
      <c r="W106" s="190"/>
      <c r="X106" s="190"/>
      <c r="Y106" s="190"/>
      <c r="Z106" s="190"/>
    </row>
    <row r="107" spans="8:26" ht="13.5" customHeight="1" x14ac:dyDescent="0.25">
      <c r="H107" s="64"/>
      <c r="I107" s="64"/>
      <c r="J107" s="64"/>
      <c r="K107" s="64"/>
      <c r="L107" s="64"/>
      <c r="U107" s="190"/>
      <c r="V107" s="190"/>
      <c r="W107" s="190"/>
      <c r="X107" s="190"/>
      <c r="Y107" s="190"/>
      <c r="Z107" s="190"/>
    </row>
    <row r="108" spans="8:26" ht="13.5" customHeight="1" x14ac:dyDescent="0.25">
      <c r="H108" s="64"/>
      <c r="I108" s="64"/>
      <c r="J108" s="64"/>
      <c r="K108" s="64"/>
      <c r="L108" s="64"/>
      <c r="U108" s="190"/>
      <c r="V108" s="190"/>
      <c r="W108" s="190"/>
      <c r="X108" s="190"/>
      <c r="Y108" s="190"/>
      <c r="Z108" s="190"/>
    </row>
    <row r="109" spans="8:26" ht="13.5" customHeight="1" x14ac:dyDescent="0.25">
      <c r="H109" s="64"/>
      <c r="I109" s="64"/>
      <c r="J109" s="64"/>
      <c r="K109" s="64"/>
      <c r="L109" s="64"/>
      <c r="U109" s="190"/>
      <c r="V109" s="190"/>
      <c r="W109" s="190"/>
      <c r="X109" s="190"/>
      <c r="Y109" s="190"/>
      <c r="Z109" s="190"/>
    </row>
    <row r="110" spans="8:26" ht="13.5" customHeight="1" x14ac:dyDescent="0.25">
      <c r="H110" s="64"/>
      <c r="I110" s="64"/>
      <c r="J110" s="64"/>
      <c r="K110" s="64"/>
      <c r="L110" s="64"/>
      <c r="U110" s="190"/>
      <c r="V110" s="190"/>
      <c r="W110" s="190"/>
      <c r="X110" s="190"/>
      <c r="Y110" s="190"/>
      <c r="Z110" s="190"/>
    </row>
    <row r="111" spans="8:26" ht="13.5" customHeight="1" x14ac:dyDescent="0.25">
      <c r="H111" s="64"/>
      <c r="I111" s="64"/>
      <c r="J111" s="64"/>
      <c r="K111" s="64"/>
      <c r="L111" s="64"/>
      <c r="U111" s="190"/>
      <c r="V111" s="190"/>
      <c r="W111" s="190"/>
      <c r="X111" s="190"/>
      <c r="Y111" s="190"/>
      <c r="Z111" s="190"/>
    </row>
    <row r="112" spans="8:26" ht="13.5" customHeight="1" x14ac:dyDescent="0.25">
      <c r="H112" s="64"/>
      <c r="I112" s="64"/>
      <c r="J112" s="64"/>
      <c r="K112" s="64"/>
      <c r="L112" s="64"/>
      <c r="U112" s="190"/>
      <c r="V112" s="190"/>
      <c r="W112" s="190"/>
      <c r="X112" s="190"/>
      <c r="Y112" s="190"/>
      <c r="Z112" s="190"/>
    </row>
    <row r="113" spans="8:26" ht="13.5" customHeight="1" x14ac:dyDescent="0.25">
      <c r="H113" s="64"/>
      <c r="I113" s="64"/>
      <c r="J113" s="64"/>
      <c r="K113" s="64"/>
      <c r="L113" s="64"/>
      <c r="U113" s="190"/>
      <c r="V113" s="190"/>
      <c r="W113" s="190"/>
      <c r="X113" s="190"/>
      <c r="Y113" s="190"/>
      <c r="Z113" s="190"/>
    </row>
    <row r="114" spans="8:26" ht="13.5" customHeight="1" x14ac:dyDescent="0.25">
      <c r="H114" s="64"/>
      <c r="I114" s="64"/>
      <c r="J114" s="64"/>
      <c r="K114" s="64"/>
      <c r="L114" s="64"/>
      <c r="U114" s="190"/>
      <c r="V114" s="190"/>
      <c r="W114" s="190"/>
      <c r="X114" s="190"/>
      <c r="Y114" s="190"/>
      <c r="Z114" s="190"/>
    </row>
    <row r="115" spans="8:26" ht="13.5" customHeight="1" x14ac:dyDescent="0.25">
      <c r="H115" s="64"/>
      <c r="I115" s="64"/>
      <c r="J115" s="64"/>
      <c r="K115" s="64"/>
      <c r="L115" s="64"/>
      <c r="U115" s="190"/>
      <c r="V115" s="190"/>
      <c r="W115" s="190"/>
      <c r="X115" s="190"/>
      <c r="Y115" s="190"/>
      <c r="Z115" s="190"/>
    </row>
    <row r="116" spans="8:26" ht="13.5" customHeight="1" x14ac:dyDescent="0.25">
      <c r="H116" s="64"/>
      <c r="I116" s="64"/>
      <c r="J116" s="64"/>
      <c r="K116" s="64"/>
      <c r="L116" s="64"/>
      <c r="U116" s="190"/>
      <c r="V116" s="190"/>
      <c r="W116" s="190"/>
      <c r="X116" s="190"/>
      <c r="Y116" s="190"/>
      <c r="Z116" s="190"/>
    </row>
    <row r="117" spans="8:26" ht="13.5" customHeight="1" x14ac:dyDescent="0.25">
      <c r="H117" s="64"/>
      <c r="I117" s="64"/>
      <c r="J117" s="64"/>
      <c r="K117" s="64"/>
      <c r="L117" s="64"/>
      <c r="U117" s="190"/>
      <c r="V117" s="190"/>
      <c r="W117" s="190"/>
      <c r="X117" s="190"/>
      <c r="Y117" s="190"/>
      <c r="Z117" s="190"/>
    </row>
    <row r="118" spans="8:26" ht="13.5" customHeight="1" x14ac:dyDescent="0.25">
      <c r="H118" s="64"/>
      <c r="I118" s="64"/>
      <c r="J118" s="64"/>
      <c r="K118" s="64"/>
      <c r="L118" s="64"/>
      <c r="U118" s="190"/>
      <c r="V118" s="190"/>
      <c r="W118" s="190"/>
      <c r="X118" s="190"/>
      <c r="Y118" s="190"/>
      <c r="Z118" s="190"/>
    </row>
    <row r="119" spans="8:26" ht="13.5" customHeight="1" x14ac:dyDescent="0.25">
      <c r="H119" s="64"/>
      <c r="I119" s="64"/>
      <c r="J119" s="64"/>
      <c r="K119" s="64"/>
      <c r="L119" s="64"/>
      <c r="U119" s="190"/>
      <c r="V119" s="190"/>
      <c r="W119" s="190"/>
      <c r="X119" s="190"/>
      <c r="Y119" s="190"/>
      <c r="Z119" s="190"/>
    </row>
    <row r="120" spans="8:26" ht="13.5" customHeight="1" x14ac:dyDescent="0.25">
      <c r="H120" s="64"/>
      <c r="I120" s="64"/>
      <c r="J120" s="64"/>
      <c r="K120" s="64"/>
      <c r="L120" s="64"/>
      <c r="U120" s="190"/>
      <c r="V120" s="190"/>
      <c r="W120" s="190"/>
      <c r="X120" s="190"/>
      <c r="Y120" s="190"/>
      <c r="Z120" s="190"/>
    </row>
    <row r="121" spans="8:26" ht="13.5" customHeight="1" x14ac:dyDescent="0.25">
      <c r="H121" s="64"/>
      <c r="I121" s="64"/>
      <c r="J121" s="64"/>
      <c r="K121" s="64"/>
      <c r="L121" s="64"/>
      <c r="U121" s="190"/>
      <c r="V121" s="190"/>
      <c r="W121" s="190"/>
      <c r="X121" s="190"/>
      <c r="Y121" s="190"/>
      <c r="Z121" s="190"/>
    </row>
    <row r="122" spans="8:26" ht="13.5" customHeight="1" x14ac:dyDescent="0.25">
      <c r="H122" s="64"/>
      <c r="I122" s="64"/>
      <c r="J122" s="64"/>
      <c r="K122" s="64"/>
      <c r="L122" s="64"/>
      <c r="U122" s="190"/>
      <c r="V122" s="190"/>
      <c r="W122" s="190"/>
      <c r="X122" s="190"/>
      <c r="Y122" s="190"/>
      <c r="Z122" s="190"/>
    </row>
    <row r="123" spans="8:26" ht="13.5" customHeight="1" x14ac:dyDescent="0.25">
      <c r="H123" s="64"/>
      <c r="I123" s="64"/>
      <c r="J123" s="64"/>
      <c r="K123" s="64"/>
      <c r="L123" s="64"/>
      <c r="U123" s="190"/>
      <c r="V123" s="190"/>
      <c r="W123" s="190"/>
      <c r="X123" s="190"/>
      <c r="Y123" s="190"/>
      <c r="Z123" s="190"/>
    </row>
    <row r="124" spans="8:26" ht="13.5" customHeight="1" x14ac:dyDescent="0.25">
      <c r="H124" s="64"/>
      <c r="I124" s="64"/>
      <c r="J124" s="64"/>
      <c r="K124" s="64"/>
      <c r="L124" s="64"/>
      <c r="U124" s="190"/>
      <c r="V124" s="190"/>
      <c r="W124" s="190"/>
      <c r="X124" s="190"/>
      <c r="Y124" s="190"/>
      <c r="Z124" s="190"/>
    </row>
    <row r="125" spans="8:26" ht="13.5" customHeight="1" x14ac:dyDescent="0.25">
      <c r="H125" s="64"/>
      <c r="I125" s="64"/>
      <c r="J125" s="64"/>
      <c r="K125" s="64"/>
      <c r="L125" s="64"/>
      <c r="U125" s="190"/>
      <c r="V125" s="190"/>
      <c r="W125" s="190"/>
      <c r="X125" s="190"/>
      <c r="Y125" s="190"/>
      <c r="Z125" s="190"/>
    </row>
    <row r="126" spans="8:26" ht="13.5" customHeight="1" x14ac:dyDescent="0.25">
      <c r="H126" s="64"/>
      <c r="I126" s="64"/>
      <c r="J126" s="64"/>
      <c r="K126" s="64"/>
      <c r="L126" s="64"/>
      <c r="U126" s="190"/>
      <c r="V126" s="190"/>
      <c r="W126" s="190"/>
      <c r="X126" s="190"/>
      <c r="Y126" s="190"/>
      <c r="Z126" s="190"/>
    </row>
    <row r="127" spans="8:26" ht="13.5" customHeight="1" x14ac:dyDescent="0.25">
      <c r="H127" s="64"/>
      <c r="I127" s="64"/>
      <c r="J127" s="64"/>
      <c r="K127" s="64"/>
      <c r="L127" s="64"/>
      <c r="U127" s="190"/>
      <c r="V127" s="190"/>
      <c r="W127" s="190"/>
      <c r="X127" s="190"/>
      <c r="Y127" s="190"/>
      <c r="Z127" s="190"/>
    </row>
    <row r="128" spans="8:26" ht="13.5" customHeight="1" x14ac:dyDescent="0.25">
      <c r="H128" s="64"/>
      <c r="I128" s="64"/>
      <c r="J128" s="64"/>
      <c r="K128" s="64"/>
      <c r="L128" s="64"/>
      <c r="U128" s="190"/>
      <c r="V128" s="190"/>
      <c r="W128" s="190"/>
      <c r="X128" s="190"/>
      <c r="Y128" s="190"/>
      <c r="Z128" s="190"/>
    </row>
    <row r="129" spans="8:26" ht="13.5" customHeight="1" x14ac:dyDescent="0.25">
      <c r="H129" s="64"/>
      <c r="I129" s="64"/>
      <c r="J129" s="64"/>
      <c r="K129" s="64"/>
      <c r="L129" s="64"/>
      <c r="U129" s="190"/>
      <c r="V129" s="190"/>
      <c r="W129" s="190"/>
      <c r="X129" s="190"/>
      <c r="Y129" s="190"/>
      <c r="Z129" s="190"/>
    </row>
    <row r="130" spans="8:26" ht="13.5" customHeight="1" x14ac:dyDescent="0.25">
      <c r="H130" s="64"/>
      <c r="I130" s="64"/>
      <c r="J130" s="64"/>
      <c r="K130" s="64"/>
      <c r="L130" s="64"/>
      <c r="U130" s="190"/>
      <c r="V130" s="190"/>
      <c r="W130" s="190"/>
      <c r="X130" s="190"/>
      <c r="Y130" s="190"/>
      <c r="Z130" s="190"/>
    </row>
    <row r="131" spans="8:26" ht="13.5" customHeight="1" x14ac:dyDescent="0.25">
      <c r="H131" s="64"/>
      <c r="I131" s="64"/>
      <c r="J131" s="64"/>
      <c r="K131" s="64"/>
      <c r="L131" s="64"/>
      <c r="U131" s="190"/>
      <c r="V131" s="190"/>
      <c r="W131" s="190"/>
      <c r="X131" s="190"/>
      <c r="Y131" s="190"/>
      <c r="Z131" s="190"/>
    </row>
    <row r="132" spans="8:26" ht="13.5" customHeight="1" x14ac:dyDescent="0.25">
      <c r="H132" s="64"/>
      <c r="I132" s="64"/>
      <c r="J132" s="64"/>
      <c r="K132" s="64"/>
      <c r="L132" s="64"/>
      <c r="U132" s="190"/>
      <c r="V132" s="190"/>
      <c r="W132" s="190"/>
      <c r="X132" s="190"/>
      <c r="Y132" s="190"/>
      <c r="Z132" s="190"/>
    </row>
    <row r="133" spans="8:26" ht="13.5" customHeight="1" x14ac:dyDescent="0.25">
      <c r="H133" s="64"/>
      <c r="I133" s="64"/>
      <c r="J133" s="64"/>
      <c r="K133" s="64"/>
      <c r="L133" s="64"/>
      <c r="U133" s="190"/>
      <c r="V133" s="190"/>
      <c r="W133" s="190"/>
      <c r="X133" s="190"/>
      <c r="Y133" s="190"/>
      <c r="Z133" s="190"/>
    </row>
    <row r="134" spans="8:26" ht="13.5" customHeight="1" x14ac:dyDescent="0.25">
      <c r="H134" s="64"/>
      <c r="I134" s="64"/>
      <c r="J134" s="64"/>
      <c r="K134" s="64"/>
      <c r="L134" s="64"/>
      <c r="U134" s="190"/>
      <c r="V134" s="190"/>
      <c r="W134" s="190"/>
      <c r="X134" s="190"/>
      <c r="Y134" s="190"/>
      <c r="Z134" s="190"/>
    </row>
    <row r="135" spans="8:26" ht="13.5" customHeight="1" x14ac:dyDescent="0.25">
      <c r="H135" s="64"/>
      <c r="I135" s="64"/>
      <c r="J135" s="64"/>
      <c r="K135" s="64"/>
      <c r="L135" s="64"/>
      <c r="U135" s="190"/>
      <c r="V135" s="190"/>
      <c r="W135" s="190"/>
      <c r="X135" s="190"/>
      <c r="Y135" s="190"/>
      <c r="Z135" s="190"/>
    </row>
    <row r="136" spans="8:26" ht="13.5" customHeight="1" x14ac:dyDescent="0.25">
      <c r="H136" s="64"/>
      <c r="I136" s="64"/>
      <c r="J136" s="64"/>
      <c r="K136" s="64"/>
      <c r="L136" s="64"/>
      <c r="U136" s="190"/>
      <c r="V136" s="190"/>
      <c r="W136" s="190"/>
      <c r="X136" s="190"/>
      <c r="Y136" s="190"/>
      <c r="Z136" s="190"/>
    </row>
    <row r="137" spans="8:26" ht="13.5" customHeight="1" x14ac:dyDescent="0.25">
      <c r="H137" s="64"/>
      <c r="I137" s="64"/>
      <c r="J137" s="64"/>
      <c r="K137" s="64"/>
      <c r="L137" s="64"/>
      <c r="U137" s="190"/>
      <c r="V137" s="190"/>
      <c r="W137" s="190"/>
      <c r="X137" s="190"/>
      <c r="Y137" s="190"/>
      <c r="Z137" s="190"/>
    </row>
    <row r="138" spans="8:26" ht="13.5" customHeight="1" x14ac:dyDescent="0.25">
      <c r="H138" s="64"/>
      <c r="I138" s="64"/>
      <c r="J138" s="64"/>
      <c r="K138" s="64"/>
      <c r="L138" s="64"/>
      <c r="U138" s="190"/>
      <c r="V138" s="190"/>
      <c r="W138" s="190"/>
      <c r="X138" s="190"/>
      <c r="Y138" s="190"/>
      <c r="Z138" s="190"/>
    </row>
    <row r="139" spans="8:26" ht="13.5" customHeight="1" x14ac:dyDescent="0.25">
      <c r="H139" s="64"/>
      <c r="I139" s="64"/>
      <c r="J139" s="64"/>
      <c r="K139" s="64"/>
      <c r="L139" s="64"/>
      <c r="U139" s="190"/>
      <c r="V139" s="190"/>
      <c r="W139" s="190"/>
      <c r="X139" s="190"/>
      <c r="Y139" s="190"/>
      <c r="Z139" s="190"/>
    </row>
    <row r="140" spans="8:26" ht="13.5" customHeight="1" x14ac:dyDescent="0.25">
      <c r="H140" s="64"/>
      <c r="I140" s="64"/>
      <c r="J140" s="64"/>
      <c r="K140" s="64"/>
      <c r="L140" s="64"/>
      <c r="U140" s="190"/>
      <c r="V140" s="190"/>
      <c r="W140" s="190"/>
      <c r="X140" s="190"/>
      <c r="Y140" s="190"/>
      <c r="Z140" s="190"/>
    </row>
    <row r="141" spans="8:26" ht="13.5" customHeight="1" x14ac:dyDescent="0.25">
      <c r="H141" s="64"/>
      <c r="I141" s="64"/>
      <c r="J141" s="64"/>
      <c r="K141" s="64"/>
      <c r="L141" s="64"/>
      <c r="U141" s="190"/>
      <c r="V141" s="190"/>
      <c r="W141" s="190"/>
      <c r="X141" s="190"/>
      <c r="Y141" s="190"/>
      <c r="Z141" s="190"/>
    </row>
    <row r="142" spans="8:26" ht="13.5" customHeight="1" x14ac:dyDescent="0.25">
      <c r="H142" s="64"/>
      <c r="I142" s="64"/>
      <c r="J142" s="64"/>
      <c r="K142" s="64"/>
      <c r="L142" s="64"/>
      <c r="U142" s="190"/>
      <c r="V142" s="190"/>
      <c r="W142" s="190"/>
      <c r="X142" s="190"/>
      <c r="Y142" s="190"/>
      <c r="Z142" s="190"/>
    </row>
    <row r="143" spans="8:26" ht="13.5" customHeight="1" x14ac:dyDescent="0.25">
      <c r="H143" s="64"/>
      <c r="I143" s="64"/>
      <c r="J143" s="64"/>
      <c r="K143" s="64"/>
      <c r="L143" s="64"/>
      <c r="U143" s="190"/>
      <c r="V143" s="190"/>
      <c r="W143" s="190"/>
      <c r="X143" s="190"/>
      <c r="Y143" s="190"/>
      <c r="Z143" s="190"/>
    </row>
    <row r="144" spans="8:26" ht="13.5" customHeight="1" x14ac:dyDescent="0.25">
      <c r="H144" s="64"/>
      <c r="I144" s="64"/>
      <c r="J144" s="64"/>
      <c r="K144" s="64"/>
      <c r="L144" s="64"/>
      <c r="U144" s="190"/>
      <c r="V144" s="190"/>
      <c r="W144" s="190"/>
      <c r="X144" s="190"/>
      <c r="Y144" s="190"/>
      <c r="Z144" s="190"/>
    </row>
    <row r="145" spans="8:26" ht="13.5" customHeight="1" x14ac:dyDescent="0.25">
      <c r="H145" s="64"/>
      <c r="I145" s="64"/>
      <c r="J145" s="64"/>
      <c r="K145" s="64"/>
      <c r="L145" s="64"/>
      <c r="U145" s="190"/>
      <c r="V145" s="190"/>
      <c r="W145" s="190"/>
      <c r="X145" s="190"/>
      <c r="Y145" s="190"/>
      <c r="Z145" s="190"/>
    </row>
    <row r="146" spans="8:26" ht="13.5" customHeight="1" x14ac:dyDescent="0.25">
      <c r="H146" s="64"/>
      <c r="I146" s="64"/>
      <c r="J146" s="64"/>
      <c r="K146" s="64"/>
      <c r="L146" s="64"/>
      <c r="U146" s="190"/>
      <c r="V146" s="190"/>
      <c r="W146" s="190"/>
      <c r="X146" s="190"/>
      <c r="Y146" s="190"/>
      <c r="Z146" s="190"/>
    </row>
    <row r="147" spans="8:26" ht="13.5" customHeight="1" x14ac:dyDescent="0.25">
      <c r="H147" s="64"/>
      <c r="I147" s="64"/>
      <c r="J147" s="64"/>
      <c r="K147" s="64"/>
      <c r="L147" s="64"/>
      <c r="U147" s="190"/>
      <c r="V147" s="190"/>
      <c r="W147" s="190"/>
      <c r="X147" s="190"/>
      <c r="Y147" s="190"/>
      <c r="Z147" s="190"/>
    </row>
    <row r="148" spans="8:26" ht="13.5" customHeight="1" x14ac:dyDescent="0.25">
      <c r="H148" s="64"/>
      <c r="I148" s="64"/>
      <c r="J148" s="64"/>
      <c r="K148" s="64"/>
      <c r="L148" s="64"/>
      <c r="U148" s="190"/>
      <c r="V148" s="190"/>
      <c r="W148" s="190"/>
      <c r="X148" s="190"/>
      <c r="Y148" s="190"/>
      <c r="Z148" s="190"/>
    </row>
    <row r="149" spans="8:26" ht="13.5" customHeight="1" x14ac:dyDescent="0.25">
      <c r="H149" s="64"/>
      <c r="I149" s="64"/>
      <c r="J149" s="64"/>
      <c r="K149" s="64"/>
      <c r="L149" s="64"/>
      <c r="U149" s="190"/>
      <c r="V149" s="190"/>
      <c r="W149" s="190"/>
      <c r="X149" s="190"/>
      <c r="Y149" s="190"/>
      <c r="Z149" s="190"/>
    </row>
    <row r="150" spans="8:26" ht="13.5" customHeight="1" x14ac:dyDescent="0.25">
      <c r="H150" s="64"/>
      <c r="I150" s="64"/>
      <c r="J150" s="64"/>
      <c r="K150" s="64"/>
      <c r="L150" s="64"/>
      <c r="U150" s="190"/>
      <c r="V150" s="190"/>
      <c r="W150" s="190"/>
      <c r="X150" s="190"/>
      <c r="Y150" s="190"/>
      <c r="Z150" s="190"/>
    </row>
    <row r="151" spans="8:26" ht="13.5" customHeight="1" x14ac:dyDescent="0.25">
      <c r="H151" s="64"/>
      <c r="I151" s="64"/>
      <c r="J151" s="64"/>
      <c r="K151" s="64"/>
      <c r="L151" s="64"/>
      <c r="U151" s="190"/>
      <c r="V151" s="190"/>
      <c r="W151" s="190"/>
      <c r="X151" s="190"/>
      <c r="Y151" s="190"/>
      <c r="Z151" s="190"/>
    </row>
    <row r="152" spans="8:26" ht="13.5" customHeight="1" x14ac:dyDescent="0.25">
      <c r="H152" s="64"/>
      <c r="I152" s="64"/>
      <c r="J152" s="64"/>
      <c r="K152" s="64"/>
      <c r="L152" s="64"/>
      <c r="U152" s="190"/>
      <c r="V152" s="190"/>
      <c r="W152" s="190"/>
      <c r="X152" s="190"/>
      <c r="Y152" s="190"/>
      <c r="Z152" s="190"/>
    </row>
    <row r="153" spans="8:26" ht="13.5" customHeight="1" x14ac:dyDescent="0.25">
      <c r="H153" s="64"/>
      <c r="I153" s="64"/>
      <c r="J153" s="64"/>
      <c r="K153" s="64"/>
      <c r="L153" s="64"/>
      <c r="U153" s="190"/>
      <c r="V153" s="190"/>
      <c r="W153" s="190"/>
      <c r="X153" s="190"/>
      <c r="Y153" s="190"/>
      <c r="Z153" s="190"/>
    </row>
    <row r="154" spans="8:26" ht="13.5" customHeight="1" x14ac:dyDescent="0.25">
      <c r="H154" s="64"/>
      <c r="I154" s="64"/>
      <c r="J154" s="64"/>
      <c r="K154" s="64"/>
      <c r="L154" s="64"/>
      <c r="U154" s="190"/>
      <c r="V154" s="190"/>
      <c r="W154" s="190"/>
      <c r="X154" s="190"/>
      <c r="Y154" s="190"/>
      <c r="Z154" s="190"/>
    </row>
    <row r="155" spans="8:26" ht="13.5" customHeight="1" x14ac:dyDescent="0.25">
      <c r="H155" s="64"/>
      <c r="I155" s="64"/>
      <c r="J155" s="64"/>
      <c r="K155" s="64"/>
      <c r="L155" s="64"/>
      <c r="U155" s="190"/>
      <c r="V155" s="190"/>
      <c r="W155" s="190"/>
      <c r="X155" s="190"/>
      <c r="Y155" s="190"/>
      <c r="Z155" s="190"/>
    </row>
    <row r="156" spans="8:26" ht="13.5" customHeight="1" x14ac:dyDescent="0.25">
      <c r="H156" s="64"/>
      <c r="I156" s="64"/>
      <c r="J156" s="64"/>
      <c r="K156" s="64"/>
      <c r="L156" s="64"/>
      <c r="U156" s="190"/>
      <c r="V156" s="190"/>
      <c r="W156" s="190"/>
      <c r="X156" s="190"/>
      <c r="Y156" s="190"/>
      <c r="Z156" s="190"/>
    </row>
    <row r="157" spans="8:26" ht="13.5" customHeight="1" x14ac:dyDescent="0.25">
      <c r="H157" s="64"/>
      <c r="I157" s="64"/>
      <c r="J157" s="64"/>
      <c r="K157" s="64"/>
      <c r="L157" s="64"/>
      <c r="U157" s="190"/>
      <c r="V157" s="190"/>
      <c r="W157" s="190"/>
      <c r="X157" s="190"/>
      <c r="Y157" s="190"/>
      <c r="Z157" s="190"/>
    </row>
    <row r="158" spans="8:26" ht="13.5" customHeight="1" x14ac:dyDescent="0.25">
      <c r="H158" s="64"/>
      <c r="I158" s="64"/>
      <c r="J158" s="64"/>
      <c r="K158" s="64"/>
      <c r="L158" s="64"/>
      <c r="U158" s="190"/>
      <c r="V158" s="190"/>
      <c r="W158" s="190"/>
      <c r="X158" s="190"/>
      <c r="Y158" s="190"/>
      <c r="Z158" s="190"/>
    </row>
    <row r="159" spans="8:26" ht="13.5" customHeight="1" x14ac:dyDescent="0.25">
      <c r="H159" s="64"/>
      <c r="I159" s="64"/>
      <c r="J159" s="64"/>
      <c r="K159" s="64"/>
      <c r="L159" s="64"/>
      <c r="U159" s="190"/>
      <c r="V159" s="190"/>
      <c r="W159" s="190"/>
      <c r="X159" s="190"/>
      <c r="Y159" s="190"/>
      <c r="Z159" s="190"/>
    </row>
    <row r="160" spans="8:26" ht="13.5" customHeight="1" x14ac:dyDescent="0.25">
      <c r="H160" s="64"/>
      <c r="I160" s="64"/>
      <c r="J160" s="64"/>
      <c r="K160" s="64"/>
      <c r="L160" s="64"/>
      <c r="U160" s="190"/>
      <c r="V160" s="190"/>
      <c r="W160" s="190"/>
      <c r="X160" s="190"/>
      <c r="Y160" s="190"/>
      <c r="Z160" s="190"/>
    </row>
    <row r="161" spans="8:26" ht="13.5" customHeight="1" x14ac:dyDescent="0.25">
      <c r="H161" s="64"/>
      <c r="I161" s="64"/>
      <c r="J161" s="64"/>
      <c r="K161" s="64"/>
      <c r="L161" s="64"/>
      <c r="U161" s="190"/>
      <c r="V161" s="190"/>
      <c r="W161" s="190"/>
      <c r="X161" s="190"/>
      <c r="Y161" s="190"/>
      <c r="Z161" s="190"/>
    </row>
    <row r="162" spans="8:26" ht="13.5" customHeight="1" x14ac:dyDescent="0.25">
      <c r="H162" s="64"/>
      <c r="I162" s="64"/>
      <c r="J162" s="64"/>
      <c r="K162" s="64"/>
      <c r="L162" s="64"/>
      <c r="U162" s="190"/>
      <c r="V162" s="190"/>
      <c r="W162" s="190"/>
      <c r="X162" s="190"/>
      <c r="Y162" s="190"/>
      <c r="Z162" s="190"/>
    </row>
    <row r="163" spans="8:26" ht="13.5" customHeight="1" x14ac:dyDescent="0.25">
      <c r="H163" s="64"/>
      <c r="I163" s="64"/>
      <c r="J163" s="64"/>
      <c r="K163" s="64"/>
      <c r="L163" s="64"/>
      <c r="U163" s="190"/>
      <c r="V163" s="190"/>
      <c r="W163" s="190"/>
      <c r="X163" s="190"/>
      <c r="Y163" s="190"/>
      <c r="Z163" s="190"/>
    </row>
    <row r="164" spans="8:26" ht="13.5" customHeight="1" x14ac:dyDescent="0.25">
      <c r="H164" s="64"/>
      <c r="I164" s="64"/>
      <c r="J164" s="64"/>
      <c r="K164" s="64"/>
      <c r="L164" s="64"/>
      <c r="U164" s="190"/>
      <c r="V164" s="190"/>
      <c r="W164" s="190"/>
      <c r="X164" s="190"/>
      <c r="Y164" s="190"/>
      <c r="Z164" s="190"/>
    </row>
    <row r="165" spans="8:26" ht="13.5" customHeight="1" x14ac:dyDescent="0.25">
      <c r="H165" s="64"/>
      <c r="I165" s="64"/>
      <c r="J165" s="64"/>
      <c r="K165" s="64"/>
      <c r="L165" s="64"/>
      <c r="U165" s="190"/>
      <c r="V165" s="190"/>
      <c r="W165" s="190"/>
      <c r="X165" s="190"/>
      <c r="Y165" s="190"/>
      <c r="Z165" s="190"/>
    </row>
    <row r="166" spans="8:26" ht="13.5" customHeight="1" x14ac:dyDescent="0.25">
      <c r="H166" s="64"/>
      <c r="I166" s="64"/>
      <c r="J166" s="64"/>
      <c r="K166" s="64"/>
      <c r="L166" s="64"/>
      <c r="U166" s="190"/>
      <c r="V166" s="190"/>
      <c r="W166" s="190"/>
      <c r="X166" s="190"/>
      <c r="Y166" s="190"/>
      <c r="Z166" s="190"/>
    </row>
    <row r="167" spans="8:26" ht="13.5" customHeight="1" x14ac:dyDescent="0.25">
      <c r="H167" s="64"/>
      <c r="I167" s="64"/>
      <c r="J167" s="64"/>
      <c r="K167" s="64"/>
      <c r="L167" s="64"/>
      <c r="U167" s="190"/>
      <c r="V167" s="190"/>
      <c r="W167" s="190"/>
      <c r="X167" s="190"/>
      <c r="Y167" s="190"/>
      <c r="Z167" s="190"/>
    </row>
    <row r="168" spans="8:26" ht="13.5" customHeight="1" x14ac:dyDescent="0.25">
      <c r="H168" s="64"/>
      <c r="I168" s="64"/>
      <c r="J168" s="64"/>
      <c r="K168" s="64"/>
      <c r="L168" s="64"/>
      <c r="U168" s="190"/>
      <c r="V168" s="190"/>
      <c r="W168" s="190"/>
      <c r="X168" s="190"/>
      <c r="Y168" s="190"/>
      <c r="Z168" s="190"/>
    </row>
    <row r="169" spans="8:26" ht="13.5" customHeight="1" x14ac:dyDescent="0.25">
      <c r="H169" s="64"/>
      <c r="I169" s="64"/>
      <c r="J169" s="64"/>
      <c r="K169" s="64"/>
      <c r="L169" s="64"/>
      <c r="U169" s="190"/>
      <c r="V169" s="190"/>
      <c r="W169" s="190"/>
      <c r="X169" s="190"/>
      <c r="Y169" s="190"/>
      <c r="Z169" s="190"/>
    </row>
    <row r="170" spans="8:26" ht="13.5" customHeight="1" x14ac:dyDescent="0.25">
      <c r="H170" s="64"/>
      <c r="I170" s="64"/>
      <c r="J170" s="64"/>
      <c r="K170" s="64"/>
      <c r="L170" s="64"/>
      <c r="U170" s="190"/>
      <c r="V170" s="190"/>
      <c r="W170" s="190"/>
      <c r="X170" s="190"/>
      <c r="Y170" s="190"/>
      <c r="Z170" s="190"/>
    </row>
    <row r="171" spans="8:26" ht="13.5" customHeight="1" x14ac:dyDescent="0.25">
      <c r="H171" s="64"/>
      <c r="I171" s="64"/>
      <c r="J171" s="64"/>
      <c r="K171" s="64"/>
      <c r="L171" s="64"/>
      <c r="U171" s="190"/>
      <c r="V171" s="190"/>
      <c r="W171" s="190"/>
      <c r="X171" s="190"/>
      <c r="Y171" s="190"/>
      <c r="Z171" s="190"/>
    </row>
    <row r="172" spans="8:26" ht="13.5" customHeight="1" x14ac:dyDescent="0.25">
      <c r="H172" s="64"/>
      <c r="I172" s="64"/>
      <c r="J172" s="64"/>
      <c r="K172" s="64"/>
      <c r="L172" s="64"/>
      <c r="U172" s="190"/>
      <c r="V172" s="190"/>
      <c r="W172" s="190"/>
      <c r="X172" s="190"/>
      <c r="Y172" s="190"/>
      <c r="Z172" s="190"/>
    </row>
    <row r="173" spans="8:26" ht="13.5" customHeight="1" x14ac:dyDescent="0.25">
      <c r="H173" s="64"/>
      <c r="I173" s="64"/>
      <c r="J173" s="64"/>
      <c r="K173" s="64"/>
      <c r="L173" s="64"/>
      <c r="U173" s="190"/>
      <c r="V173" s="190"/>
      <c r="W173" s="190"/>
      <c r="X173" s="190"/>
      <c r="Y173" s="190"/>
      <c r="Z173" s="190"/>
    </row>
    <row r="174" spans="8:26" ht="13.5" customHeight="1" x14ac:dyDescent="0.25">
      <c r="H174" s="64"/>
      <c r="I174" s="64"/>
      <c r="J174" s="64"/>
      <c r="K174" s="64"/>
      <c r="L174" s="64"/>
      <c r="U174" s="190"/>
      <c r="V174" s="190"/>
      <c r="W174" s="190"/>
      <c r="X174" s="190"/>
      <c r="Y174" s="190"/>
      <c r="Z174" s="190"/>
    </row>
    <row r="175" spans="8:26" ht="13.5" customHeight="1" x14ac:dyDescent="0.25">
      <c r="H175" s="64"/>
      <c r="I175" s="64"/>
      <c r="J175" s="64"/>
      <c r="K175" s="64"/>
      <c r="L175" s="64"/>
      <c r="U175" s="190"/>
      <c r="V175" s="190"/>
      <c r="W175" s="190"/>
      <c r="X175" s="190"/>
      <c r="Y175" s="190"/>
      <c r="Z175" s="190"/>
    </row>
    <row r="176" spans="8:26" ht="13.5" customHeight="1" x14ac:dyDescent="0.25">
      <c r="H176" s="64"/>
      <c r="I176" s="64"/>
      <c r="J176" s="64"/>
      <c r="K176" s="64"/>
      <c r="L176" s="64"/>
      <c r="U176" s="190"/>
      <c r="V176" s="190"/>
      <c r="W176" s="190"/>
      <c r="X176" s="190"/>
      <c r="Y176" s="190"/>
      <c r="Z176" s="190"/>
    </row>
    <row r="177" spans="8:26" ht="13.5" customHeight="1" x14ac:dyDescent="0.25">
      <c r="H177" s="64"/>
      <c r="I177" s="64"/>
      <c r="J177" s="64"/>
      <c r="K177" s="64"/>
      <c r="L177" s="64"/>
      <c r="U177" s="190"/>
      <c r="V177" s="190"/>
      <c r="W177" s="190"/>
      <c r="X177" s="190"/>
      <c r="Y177" s="190"/>
      <c r="Z177" s="190"/>
    </row>
    <row r="178" spans="8:26" ht="13.5" customHeight="1" x14ac:dyDescent="0.25">
      <c r="H178" s="64"/>
      <c r="I178" s="64"/>
      <c r="J178" s="64"/>
      <c r="K178" s="64"/>
      <c r="L178" s="64"/>
      <c r="U178" s="190"/>
      <c r="V178" s="190"/>
      <c r="W178" s="190"/>
      <c r="X178" s="190"/>
      <c r="Y178" s="190"/>
      <c r="Z178" s="190"/>
    </row>
    <row r="179" spans="8:26" ht="13.5" customHeight="1" x14ac:dyDescent="0.25">
      <c r="H179" s="64"/>
      <c r="I179" s="64"/>
      <c r="J179" s="64"/>
      <c r="K179" s="64"/>
      <c r="L179" s="64"/>
      <c r="U179" s="190"/>
      <c r="V179" s="190"/>
      <c r="W179" s="190"/>
      <c r="X179" s="190"/>
      <c r="Y179" s="190"/>
      <c r="Z179" s="190"/>
    </row>
    <row r="180" spans="8:26" ht="13.5" customHeight="1" x14ac:dyDescent="0.25">
      <c r="H180" s="64"/>
      <c r="I180" s="64"/>
      <c r="J180" s="64"/>
      <c r="K180" s="64"/>
      <c r="L180" s="64"/>
      <c r="U180" s="190"/>
      <c r="V180" s="190"/>
      <c r="W180" s="190"/>
      <c r="X180" s="190"/>
      <c r="Y180" s="190"/>
      <c r="Z180" s="190"/>
    </row>
    <row r="181" spans="8:26" ht="13.5" customHeight="1" x14ac:dyDescent="0.25">
      <c r="H181" s="64"/>
      <c r="I181" s="64"/>
      <c r="J181" s="64"/>
      <c r="K181" s="64"/>
      <c r="L181" s="64"/>
      <c r="U181" s="190"/>
      <c r="V181" s="190"/>
      <c r="W181" s="190"/>
      <c r="X181" s="190"/>
      <c r="Y181" s="190"/>
      <c r="Z181" s="190"/>
    </row>
    <row r="182" spans="8:26" ht="13.5" customHeight="1" x14ac:dyDescent="0.25">
      <c r="H182" s="64"/>
      <c r="I182" s="64"/>
      <c r="J182" s="64"/>
      <c r="K182" s="64"/>
      <c r="L182" s="64"/>
      <c r="U182" s="190"/>
      <c r="V182" s="190"/>
      <c r="W182" s="190"/>
      <c r="X182" s="190"/>
      <c r="Y182" s="190"/>
      <c r="Z182" s="190"/>
    </row>
    <row r="183" spans="8:26" ht="13.5" customHeight="1" x14ac:dyDescent="0.25">
      <c r="H183" s="64"/>
      <c r="I183" s="64"/>
      <c r="J183" s="64"/>
      <c r="K183" s="64"/>
      <c r="L183" s="64"/>
      <c r="U183" s="190"/>
      <c r="V183" s="190"/>
      <c r="W183" s="190"/>
      <c r="X183" s="190"/>
      <c r="Y183" s="190"/>
      <c r="Z183" s="190"/>
    </row>
    <row r="184" spans="8:26" ht="13.5" customHeight="1" x14ac:dyDescent="0.25">
      <c r="H184" s="64"/>
      <c r="I184" s="64"/>
      <c r="J184" s="64"/>
      <c r="K184" s="64"/>
      <c r="L184" s="64"/>
      <c r="U184" s="190"/>
      <c r="V184" s="190"/>
      <c r="W184" s="190"/>
      <c r="X184" s="190"/>
      <c r="Y184" s="190"/>
      <c r="Z184" s="190"/>
    </row>
    <row r="185" spans="8:26" ht="13.5" customHeight="1" x14ac:dyDescent="0.25">
      <c r="H185" s="64"/>
      <c r="I185" s="64"/>
      <c r="J185" s="64"/>
      <c r="K185" s="64"/>
      <c r="L185" s="64"/>
      <c r="U185" s="190"/>
      <c r="V185" s="190"/>
      <c r="W185" s="190"/>
      <c r="X185" s="190"/>
      <c r="Y185" s="190"/>
      <c r="Z185" s="190"/>
    </row>
    <row r="186" spans="8:26" ht="13.5" customHeight="1" x14ac:dyDescent="0.25">
      <c r="H186" s="64"/>
      <c r="I186" s="64"/>
      <c r="J186" s="64"/>
      <c r="K186" s="64"/>
      <c r="L186" s="64"/>
      <c r="U186" s="190"/>
      <c r="V186" s="190"/>
      <c r="W186" s="190"/>
      <c r="X186" s="190"/>
      <c r="Y186" s="190"/>
      <c r="Z186" s="190"/>
    </row>
    <row r="187" spans="8:26" ht="13.5" customHeight="1" x14ac:dyDescent="0.25">
      <c r="H187" s="64"/>
      <c r="I187" s="64"/>
      <c r="J187" s="64"/>
      <c r="K187" s="64"/>
      <c r="L187" s="64"/>
      <c r="U187" s="190"/>
      <c r="V187" s="190"/>
      <c r="W187" s="190"/>
      <c r="X187" s="190"/>
      <c r="Y187" s="190"/>
      <c r="Z187" s="190"/>
    </row>
    <row r="188" spans="8:26" ht="13.5" customHeight="1" x14ac:dyDescent="0.25">
      <c r="H188" s="64"/>
      <c r="I188" s="64"/>
      <c r="J188" s="64"/>
      <c r="K188" s="64"/>
      <c r="L188" s="64"/>
      <c r="U188" s="190"/>
      <c r="V188" s="190"/>
      <c r="W188" s="190"/>
      <c r="X188" s="190"/>
      <c r="Y188" s="190"/>
      <c r="Z188" s="190"/>
    </row>
    <row r="189" spans="8:26" ht="13.5" customHeight="1" x14ac:dyDescent="0.2"/>
    <row r="190" spans="8:26" ht="13.5" customHeight="1" x14ac:dyDescent="0.2"/>
    <row r="191" spans="8:26" ht="13.5" customHeight="1" x14ac:dyDescent="0.2"/>
    <row r="192" spans="8:26"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V60" xr:uid="{00000000-0009-0000-0000-000005000000}"/>
  <phoneticPr fontId="31" type="noConversion"/>
  <dataValidations count="5">
    <dataValidation type="date" allowBlank="1" showInputMessage="1" showErrorMessage="1" promptTitle="Versionsdatum" prompt="Datum im Format YYYY-MM-DD eintragen." sqref="AC8:AC2000" xr:uid="{00000000-0002-0000-0500-000000000000}">
      <formula1>DATE(2000,1,1)</formula1>
      <formula2>DATE(2100,12,31)</formula2>
    </dataValidation>
    <dataValidation type="list" allowBlank="1" sqref="K2:K7 K61:K2000" xr:uid="{00000000-0002-0000-0500-000001000000}">
      <formula1>Beschreibung</formula1>
    </dataValidation>
    <dataValidation type="list" allowBlank="1" sqref="O2:O7 O61:O2000" xr:uid="{00000000-0002-0000-0500-000002000000}">
      <formula1>DataType</formula1>
    </dataValidation>
    <dataValidation type="list" allowBlank="1" sqref="AB2:AB2000" xr:uid="{00000000-0002-0000-0500-000003000000}">
      <formula1>Status</formula1>
    </dataValidation>
    <dataValidation type="list" allowBlank="1" sqref="P61:P2000" xr:uid="{00000000-0002-0000-0500-000004000000}">
      <formula1>IFC_Data_Type</formula1>
    </dataValidation>
  </dataValidations>
  <hyperlinks>
    <hyperlink ref="D43" r:id="rId1" xr:uid="{B0F01D58-FE76-4A7B-8092-CCF3AB1B095A}"/>
    <hyperlink ref="D44" r:id="rId2" xr:uid="{85B17E3F-080A-4770-9E4C-B6F2F7225F5B}"/>
    <hyperlink ref="D45" r:id="rId3" xr:uid="{8D4D69A2-17EE-48D8-8BEE-DA87A0D97F8F}"/>
    <hyperlink ref="D46" r:id="rId4" xr:uid="{1356FECB-CC26-463C-8BB3-78995AAF6CEF}"/>
    <hyperlink ref="D47" r:id="rId5" xr:uid="{F22EB8FE-9C25-403F-B78F-112384683680}"/>
    <hyperlink ref="D48" r:id="rId6" xr:uid="{D7C59D01-8B3B-4066-ABCD-66019B51E5EC}"/>
    <hyperlink ref="D49" r:id="rId7" xr:uid="{5E7981FB-190F-4BB1-9F35-05A87815E4EC}"/>
    <hyperlink ref="D50" r:id="rId8" xr:uid="{4450C4CB-E54C-4D80-A971-58EBE5FF7A70}"/>
    <hyperlink ref="D51" r:id="rId9" xr:uid="{886B129E-27C1-492E-AA29-0C1D880349B7}"/>
    <hyperlink ref="D52" r:id="rId10" xr:uid="{AD3BBCF1-2217-49E1-9E5D-80BA6B0EF41F}"/>
    <hyperlink ref="D53" r:id="rId11" xr:uid="{49B50367-9FA5-4D41-BF53-8E6D945EB296}"/>
    <hyperlink ref="D54" r:id="rId12" xr:uid="{AD18CB0A-FF7F-4361-BC1C-21F45D0EC941}"/>
    <hyperlink ref="D55" r:id="rId13" xr:uid="{89DE022D-1E01-4AEE-9CC0-51057639C16C}"/>
    <hyperlink ref="D56" r:id="rId14" xr:uid="{13FF61B2-2ABA-493E-8706-0A87C580FF76}"/>
    <hyperlink ref="D38" r:id="rId15" xr:uid="{E4BFDB79-3FE8-4BC4-8623-4192A106BBB5}"/>
    <hyperlink ref="D37" r:id="rId16" xr:uid="{E9652F36-CB84-4651-9F61-BE7802DF3C90}"/>
    <hyperlink ref="D40" r:id="rId17" xr:uid="{DEC1BB2E-7A80-4509-9030-BA7F6AD1CC06}"/>
    <hyperlink ref="D41" r:id="rId18" xr:uid="{5B953D8E-B77F-4863-8ED8-8771431C2132}"/>
    <hyperlink ref="D42" r:id="rId19" xr:uid="{5C8347C0-F1DE-4137-92B5-1ED525C64584}"/>
    <hyperlink ref="D58" r:id="rId20" xr:uid="{DE8C4021-2E6E-49DE-98B2-270969C81D28}"/>
  </hyperlink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legacyDrawing r:id="rId2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62"/>
  <sheetViews>
    <sheetView showGridLines="0" zoomScaleNormal="100" workbookViewId="0">
      <pane ySplit="3" topLeftCell="A7" activePane="bottomLeft" state="frozen"/>
      <selection pane="bottomLeft" activeCell="G9" sqref="G9"/>
    </sheetView>
  </sheetViews>
  <sheetFormatPr baseColWidth="10" defaultColWidth="11.5703125" defaultRowHeight="14.25" outlineLevelCol="1" x14ac:dyDescent="0.25"/>
  <cols>
    <col min="1" max="1" width="3.7109375" style="50" customWidth="1"/>
    <col min="2" max="2" width="25.7109375" style="50" customWidth="1" outlineLevel="1"/>
    <col min="3" max="3" width="3.7109375" style="50" customWidth="1"/>
    <col min="4" max="6" width="20.7109375" style="57" customWidth="1" outlineLevel="1"/>
    <col min="7" max="7" width="30.140625" style="57" customWidth="1" outlineLevel="1"/>
    <col min="8" max="10" width="6.5703125" style="57" customWidth="1" outlineLevel="1"/>
    <col min="11" max="11" width="59.85546875" style="57" customWidth="1" outlineLevel="1"/>
    <col min="12" max="12" width="59.85546875" style="50" customWidth="1"/>
    <col min="13" max="14" width="59.85546875" style="50" customWidth="1" outlineLevel="1"/>
    <col min="15" max="15" width="15.85546875" style="50" customWidth="1" outlineLevel="1"/>
    <col min="16" max="20" width="11.5703125" style="50" customWidth="1"/>
    <col min="21" max="16384" width="11.5703125" style="50"/>
  </cols>
  <sheetData>
    <row r="1" spans="1:19" s="55" customFormat="1" ht="120" customHeight="1" x14ac:dyDescent="0.25">
      <c r="A1" s="95" t="s">
        <v>0</v>
      </c>
      <c r="B1" s="93" t="s">
        <v>1</v>
      </c>
      <c r="C1" s="94" t="s">
        <v>216</v>
      </c>
      <c r="D1" s="93" t="s">
        <v>7</v>
      </c>
      <c r="E1" s="93" t="s">
        <v>198</v>
      </c>
      <c r="F1" s="240" t="s">
        <v>858</v>
      </c>
      <c r="G1" s="114" t="s">
        <v>11</v>
      </c>
      <c r="H1" s="114" t="s">
        <v>13</v>
      </c>
      <c r="I1" s="114" t="s">
        <v>14</v>
      </c>
      <c r="J1" s="114" t="s">
        <v>12</v>
      </c>
      <c r="K1" s="114" t="s">
        <v>356</v>
      </c>
      <c r="L1" s="114" t="s">
        <v>357</v>
      </c>
      <c r="M1" s="114" t="s">
        <v>358</v>
      </c>
      <c r="N1" s="114" t="s">
        <v>359</v>
      </c>
      <c r="O1" s="241" t="s">
        <v>221</v>
      </c>
      <c r="P1" s="96" t="s">
        <v>25</v>
      </c>
      <c r="Q1" s="93" t="s">
        <v>26</v>
      </c>
      <c r="R1" s="93" t="s">
        <v>27</v>
      </c>
      <c r="S1" s="93" t="s">
        <v>360</v>
      </c>
    </row>
    <row r="2" spans="1:19" s="117" customFormat="1" x14ac:dyDescent="0.25">
      <c r="A2" s="49"/>
      <c r="B2" s="113" t="s">
        <v>31</v>
      </c>
      <c r="C2" s="49"/>
      <c r="D2" s="59"/>
      <c r="E2" s="60"/>
      <c r="F2" s="60"/>
      <c r="G2" s="60"/>
      <c r="H2" s="60"/>
      <c r="I2" s="60"/>
      <c r="J2" s="60"/>
      <c r="K2" s="59"/>
      <c r="L2" s="59"/>
      <c r="M2" s="59"/>
      <c r="N2" s="59"/>
      <c r="O2" s="59"/>
      <c r="P2" s="49"/>
      <c r="Q2" s="110"/>
      <c r="R2" s="60"/>
      <c r="S2" s="59"/>
    </row>
    <row r="3" spans="1:19" s="92" customFormat="1" ht="11.25" customHeight="1" x14ac:dyDescent="0.25">
      <c r="A3" s="49"/>
      <c r="B3" s="113" t="s">
        <v>32</v>
      </c>
      <c r="C3" s="49"/>
      <c r="D3" s="59"/>
      <c r="E3" s="60"/>
      <c r="F3" s="60"/>
      <c r="G3" s="60"/>
      <c r="H3" s="60"/>
      <c r="I3" s="60"/>
      <c r="J3" s="60"/>
      <c r="K3" s="59"/>
      <c r="L3" s="59"/>
      <c r="M3" s="59"/>
      <c r="N3" s="59"/>
      <c r="O3" s="59"/>
      <c r="P3" s="49"/>
      <c r="Q3" s="110"/>
      <c r="R3" s="60"/>
      <c r="S3" s="59"/>
    </row>
    <row r="4" spans="1:19" s="30" customFormat="1" x14ac:dyDescent="0.25">
      <c r="A4" s="49"/>
      <c r="B4" s="113" t="s">
        <v>33</v>
      </c>
      <c r="C4" s="49"/>
      <c r="D4" s="59" t="s">
        <v>34</v>
      </c>
      <c r="E4" s="60" t="s">
        <v>34</v>
      </c>
      <c r="F4" s="60"/>
      <c r="G4" s="60" t="s">
        <v>35</v>
      </c>
      <c r="H4" s="60" t="s">
        <v>37</v>
      </c>
      <c r="I4" s="60" t="s">
        <v>38</v>
      </c>
      <c r="J4" s="60" t="s">
        <v>36</v>
      </c>
      <c r="K4" s="59" t="s">
        <v>36</v>
      </c>
      <c r="L4" s="59" t="s">
        <v>35</v>
      </c>
      <c r="M4" s="59" t="s">
        <v>37</v>
      </c>
      <c r="N4" s="59" t="s">
        <v>38</v>
      </c>
      <c r="O4" s="59" t="s">
        <v>34</v>
      </c>
      <c r="P4" s="49"/>
      <c r="Q4" s="111" t="s">
        <v>34</v>
      </c>
      <c r="R4" s="59" t="s">
        <v>34</v>
      </c>
      <c r="S4" s="59" t="s">
        <v>34</v>
      </c>
    </row>
    <row r="5" spans="1:19" s="30" customFormat="1" x14ac:dyDescent="0.25">
      <c r="A5" s="49"/>
      <c r="B5" s="113" t="s">
        <v>39</v>
      </c>
      <c r="C5" s="49"/>
      <c r="D5" s="59" t="s">
        <v>41</v>
      </c>
      <c r="E5" s="60" t="s">
        <v>41</v>
      </c>
      <c r="F5" s="60"/>
      <c r="G5" s="60"/>
      <c r="H5" s="60"/>
      <c r="I5" s="60"/>
      <c r="J5" s="60"/>
      <c r="K5" s="59"/>
      <c r="L5" s="59"/>
      <c r="M5" s="59"/>
      <c r="N5" s="59"/>
      <c r="O5" s="59"/>
      <c r="P5" s="49"/>
      <c r="Q5" s="111" t="s">
        <v>40</v>
      </c>
      <c r="R5" s="59" t="s">
        <v>40</v>
      </c>
      <c r="S5" s="59" t="s">
        <v>40</v>
      </c>
    </row>
    <row r="6" spans="1:19" s="30" customFormat="1" x14ac:dyDescent="0.25">
      <c r="A6" s="49"/>
      <c r="B6" s="113" t="s">
        <v>42</v>
      </c>
      <c r="C6" s="49"/>
      <c r="D6" s="59"/>
      <c r="E6" s="60"/>
      <c r="F6" s="60"/>
      <c r="G6" s="60"/>
      <c r="H6" s="60"/>
      <c r="I6" s="60"/>
      <c r="J6" s="60"/>
      <c r="K6" s="59"/>
      <c r="L6" s="59"/>
      <c r="M6" s="59"/>
      <c r="N6" s="59"/>
      <c r="O6" s="59"/>
      <c r="P6" s="49"/>
      <c r="Q6" s="110" t="s">
        <v>26</v>
      </c>
      <c r="R6" s="60"/>
      <c r="S6" s="112"/>
    </row>
    <row r="7" spans="1:19" s="184" customFormat="1" ht="67.5" customHeight="1" x14ac:dyDescent="0.25">
      <c r="A7" s="204"/>
      <c r="B7" s="199" t="s">
        <v>44</v>
      </c>
      <c r="C7" s="204"/>
      <c r="D7" s="205" t="s">
        <v>46</v>
      </c>
      <c r="E7" s="115" t="s">
        <v>47</v>
      </c>
      <c r="F7" s="115"/>
      <c r="G7" s="115" t="s">
        <v>45</v>
      </c>
      <c r="H7" s="115" t="s">
        <v>45</v>
      </c>
      <c r="I7" s="115" t="s">
        <v>45</v>
      </c>
      <c r="J7" s="115" t="s">
        <v>45</v>
      </c>
      <c r="K7" s="205" t="s">
        <v>361</v>
      </c>
      <c r="L7" s="205" t="s">
        <v>361</v>
      </c>
      <c r="M7" s="205" t="s">
        <v>361</v>
      </c>
      <c r="N7" s="205" t="s">
        <v>361</v>
      </c>
      <c r="O7" s="205" t="s">
        <v>45</v>
      </c>
      <c r="P7" s="204"/>
      <c r="Q7" s="202" t="s">
        <v>52</v>
      </c>
      <c r="R7" s="115" t="s">
        <v>53</v>
      </c>
      <c r="S7" s="203" t="s">
        <v>45</v>
      </c>
    </row>
    <row r="8" spans="1:19" s="246" customFormat="1" ht="12.75" x14ac:dyDescent="0.25">
      <c r="A8" s="204"/>
      <c r="B8" s="245"/>
      <c r="C8" s="204"/>
      <c r="D8" s="54"/>
      <c r="E8" s="54"/>
      <c r="F8" s="54" t="s">
        <v>857</v>
      </c>
      <c r="G8" s="214"/>
      <c r="H8" s="213"/>
      <c r="I8" s="62"/>
      <c r="J8" s="62"/>
      <c r="K8" s="54" t="s">
        <v>734</v>
      </c>
      <c r="L8" s="54" t="s">
        <v>734</v>
      </c>
      <c r="M8" s="54" t="s">
        <v>734</v>
      </c>
      <c r="N8" s="54"/>
      <c r="O8" s="54"/>
      <c r="P8" s="204"/>
      <c r="Q8" s="51"/>
      <c r="R8" s="51"/>
      <c r="S8" s="54"/>
    </row>
    <row r="9" spans="1:19" s="246" customFormat="1" ht="25.5" x14ac:dyDescent="0.25">
      <c r="A9" s="204"/>
      <c r="B9" s="245"/>
      <c r="C9" s="204"/>
      <c r="D9" s="54"/>
      <c r="E9" s="54"/>
      <c r="F9" s="54" t="s">
        <v>859</v>
      </c>
      <c r="G9" s="214"/>
      <c r="H9" s="62"/>
      <c r="I9" s="62"/>
      <c r="J9" s="62"/>
      <c r="K9" s="54" t="s">
        <v>735</v>
      </c>
      <c r="L9" s="54" t="s">
        <v>735</v>
      </c>
      <c r="M9" s="54" t="s">
        <v>735</v>
      </c>
      <c r="N9" s="54"/>
      <c r="O9" s="54"/>
      <c r="P9" s="204"/>
      <c r="Q9" s="51"/>
      <c r="R9" s="51"/>
      <c r="S9" s="54"/>
    </row>
    <row r="10" spans="1:19" s="246" customFormat="1" ht="12.75" x14ac:dyDescent="0.25">
      <c r="A10" s="204"/>
      <c r="B10" s="245"/>
      <c r="C10" s="204"/>
      <c r="D10" s="54"/>
      <c r="E10" s="54"/>
      <c r="F10" s="54" t="s">
        <v>860</v>
      </c>
      <c r="G10" s="213" t="str">
        <f>[4]Merkmale_Merkmalsgruppen!F8</f>
        <v>Vordefinierter Typ</v>
      </c>
      <c r="H10" s="62"/>
      <c r="I10" s="62"/>
      <c r="J10" s="62"/>
      <c r="K10" s="54"/>
      <c r="L10" s="54"/>
      <c r="M10" s="54"/>
      <c r="N10" s="54"/>
      <c r="O10" s="54"/>
      <c r="P10" s="204"/>
      <c r="Q10" s="51"/>
      <c r="R10" s="51"/>
      <c r="S10" s="54"/>
    </row>
    <row r="11" spans="1:19" s="246" customFormat="1" ht="12.75" x14ac:dyDescent="0.25">
      <c r="A11" s="204"/>
      <c r="B11" s="245"/>
      <c r="C11" s="204"/>
      <c r="D11" s="54"/>
      <c r="E11" s="54"/>
      <c r="F11" s="54" t="s">
        <v>861</v>
      </c>
      <c r="G11" s="213" t="str">
        <f>[4]Merkmale_Merkmalsgruppen!F9</f>
        <v>Objekttyp</v>
      </c>
      <c r="H11" s="62"/>
      <c r="I11" s="62"/>
      <c r="J11" s="62"/>
      <c r="K11" s="54"/>
      <c r="L11" s="54"/>
      <c r="M11" s="54"/>
      <c r="N11" s="54"/>
      <c r="O11" s="54"/>
      <c r="P11" s="204"/>
      <c r="Q11" s="51"/>
      <c r="R11" s="51"/>
      <c r="S11" s="54"/>
    </row>
    <row r="12" spans="1:19" s="246" customFormat="1" ht="25.5" x14ac:dyDescent="0.25">
      <c r="A12" s="204"/>
      <c r="B12" s="245"/>
      <c r="C12" s="204"/>
      <c r="D12" s="54"/>
      <c r="E12" s="54"/>
      <c r="F12" s="54" t="s">
        <v>862</v>
      </c>
      <c r="G12" s="213" t="str">
        <f>[4]Merkmale_Merkmalsgruppen!F10</f>
        <v>ID</v>
      </c>
      <c r="H12" s="62"/>
      <c r="I12" s="62"/>
      <c r="J12" s="62"/>
      <c r="K12" s="54" t="s">
        <v>791</v>
      </c>
      <c r="L12" s="54" t="s">
        <v>791</v>
      </c>
      <c r="M12" s="54" t="s">
        <v>791</v>
      </c>
      <c r="N12" s="54"/>
      <c r="O12" s="54"/>
      <c r="P12" s="204"/>
      <c r="Q12" s="51"/>
      <c r="R12" s="51"/>
      <c r="S12" s="54"/>
    </row>
    <row r="13" spans="1:19" s="246" customFormat="1" ht="25.5" x14ac:dyDescent="0.25">
      <c r="A13" s="204"/>
      <c r="B13" s="245"/>
      <c r="C13" s="204"/>
      <c r="D13" s="54"/>
      <c r="E13" s="54"/>
      <c r="F13" s="54" t="s">
        <v>863</v>
      </c>
      <c r="G13" s="213" t="str">
        <f>[4]Merkmale_Merkmalsgruppen!F11</f>
        <v>Raumbezeichnung</v>
      </c>
      <c r="H13" s="62"/>
      <c r="I13" s="62"/>
      <c r="J13" s="62"/>
      <c r="K13" s="54"/>
      <c r="L13" s="54" t="s">
        <v>792</v>
      </c>
      <c r="M13" s="54" t="s">
        <v>793</v>
      </c>
      <c r="N13" s="54"/>
      <c r="O13" s="54"/>
      <c r="P13" s="204"/>
      <c r="Q13" s="51"/>
      <c r="R13" s="51"/>
      <c r="S13" s="54"/>
    </row>
    <row r="14" spans="1:19" s="246" customFormat="1" ht="12.75" x14ac:dyDescent="0.25">
      <c r="A14" s="204"/>
      <c r="B14" s="245"/>
      <c r="C14" s="204"/>
      <c r="D14" s="54"/>
      <c r="E14" s="54"/>
      <c r="F14" s="54" t="s">
        <v>864</v>
      </c>
      <c r="G14" s="213" t="str">
        <f>[4]Merkmale_Merkmalsgruppen!F12</f>
        <v>Flächenart SIA 416</v>
      </c>
      <c r="H14" s="62"/>
      <c r="I14" s="62"/>
      <c r="J14" s="62"/>
      <c r="K14" s="54" t="s">
        <v>731</v>
      </c>
      <c r="L14" s="54" t="s">
        <v>731</v>
      </c>
      <c r="M14" s="54" t="s">
        <v>731</v>
      </c>
      <c r="N14" s="54"/>
      <c r="O14" s="54"/>
      <c r="P14" s="204"/>
      <c r="Q14" s="51"/>
      <c r="R14" s="51"/>
      <c r="S14" s="54"/>
    </row>
    <row r="15" spans="1:19" s="246" customFormat="1" ht="25.5" x14ac:dyDescent="0.25">
      <c r="A15" s="204"/>
      <c r="B15" s="245"/>
      <c r="C15" s="204"/>
      <c r="D15" s="54"/>
      <c r="E15" s="54"/>
      <c r="F15" s="54" t="s">
        <v>865</v>
      </c>
      <c r="G15" s="213" t="str">
        <f>[4]Merkmale_Merkmalsgruppen!F13</f>
        <v>Flächenart SIA 416</v>
      </c>
      <c r="H15" s="62"/>
      <c r="I15" s="62"/>
      <c r="J15" s="62"/>
      <c r="K15" s="54"/>
      <c r="L15" s="54" t="s">
        <v>794</v>
      </c>
      <c r="M15" s="54" t="s">
        <v>795</v>
      </c>
      <c r="N15" s="54"/>
      <c r="O15" s="54"/>
      <c r="P15" s="204"/>
      <c r="Q15" s="51"/>
      <c r="R15" s="51"/>
      <c r="S15" s="54"/>
    </row>
    <row r="16" spans="1:19" s="246" customFormat="1" ht="51" x14ac:dyDescent="0.25">
      <c r="A16" s="245"/>
      <c r="B16" s="245"/>
      <c r="C16" s="245"/>
      <c r="D16" s="54"/>
      <c r="E16" s="54"/>
      <c r="F16" s="54" t="s">
        <v>866</v>
      </c>
      <c r="G16" s="213" t="str">
        <f>[4]Merkmale_Merkmalsgruppen!F14</f>
        <v>Raumbezeichnung SIA 380</v>
      </c>
      <c r="H16" s="62"/>
      <c r="I16" s="62"/>
      <c r="J16" s="62"/>
      <c r="K16" s="54" t="s">
        <v>732</v>
      </c>
      <c r="L16" s="54" t="s">
        <v>732</v>
      </c>
      <c r="M16" s="54" t="s">
        <v>732</v>
      </c>
      <c r="N16" s="54"/>
      <c r="O16" s="54"/>
      <c r="P16" s="245"/>
      <c r="Q16" s="51"/>
      <c r="R16" s="51"/>
      <c r="S16" s="54"/>
    </row>
    <row r="17" spans="1:19" s="247" customFormat="1" ht="191.25" x14ac:dyDescent="0.25">
      <c r="A17" s="245"/>
      <c r="B17" s="245"/>
      <c r="C17" s="245"/>
      <c r="D17" s="54"/>
      <c r="E17" s="54"/>
      <c r="F17" s="54" t="s">
        <v>867</v>
      </c>
      <c r="G17" s="213" t="str">
        <f>[4]Merkmale_Merkmalsgruppen!F15</f>
        <v>Raumbezeichnung SIA 380</v>
      </c>
      <c r="H17" s="62"/>
      <c r="I17" s="62"/>
      <c r="J17" s="62"/>
      <c r="K17" s="54"/>
      <c r="L17" s="54" t="s">
        <v>927</v>
      </c>
      <c r="M17" s="54"/>
      <c r="N17" s="54"/>
      <c r="O17" s="54"/>
      <c r="P17" s="245"/>
      <c r="Q17" s="51"/>
      <c r="R17" s="51"/>
      <c r="S17" s="54"/>
    </row>
    <row r="18" spans="1:19" s="247" customFormat="1" ht="51" x14ac:dyDescent="0.25">
      <c r="A18" s="245"/>
      <c r="B18" s="245"/>
      <c r="C18" s="245"/>
      <c r="D18" s="54"/>
      <c r="E18" s="54"/>
      <c r="F18" s="54" t="s">
        <v>868</v>
      </c>
      <c r="G18" s="213" t="str">
        <f>[4]Merkmale_Merkmalsgruppen!F16</f>
        <v>Raumnutzung SIA 2024</v>
      </c>
      <c r="H18" s="62"/>
      <c r="I18" s="62"/>
      <c r="J18" s="62"/>
      <c r="K18" s="54" t="s">
        <v>733</v>
      </c>
      <c r="L18" s="54" t="s">
        <v>733</v>
      </c>
      <c r="M18" s="54" t="s">
        <v>733</v>
      </c>
      <c r="N18" s="54"/>
      <c r="O18" s="54"/>
      <c r="P18" s="245"/>
      <c r="Q18" s="51"/>
      <c r="R18" s="51"/>
      <c r="S18" s="54"/>
    </row>
    <row r="19" spans="1:19" s="247" customFormat="1" ht="395.25" x14ac:dyDescent="0.25">
      <c r="A19" s="245"/>
      <c r="B19" s="245"/>
      <c r="C19" s="245"/>
      <c r="D19" s="54"/>
      <c r="E19" s="54"/>
      <c r="F19" s="54" t="s">
        <v>869</v>
      </c>
      <c r="G19" s="213" t="str">
        <f>[4]Merkmale_Merkmalsgruppen!F17</f>
        <v>Raumnutzung SIA 2024</v>
      </c>
      <c r="H19" s="62"/>
      <c r="I19" s="62"/>
      <c r="J19" s="62"/>
      <c r="K19" s="54"/>
      <c r="L19" s="54" t="s">
        <v>790</v>
      </c>
      <c r="M19" s="54"/>
      <c r="N19" s="54"/>
      <c r="O19" s="54"/>
      <c r="P19" s="245"/>
      <c r="Q19" s="51"/>
      <c r="R19" s="51"/>
      <c r="S19" s="54"/>
    </row>
    <row r="20" spans="1:19" s="247" customFormat="1" ht="12.75" x14ac:dyDescent="0.25">
      <c r="A20" s="245"/>
      <c r="B20" s="245"/>
      <c r="C20" s="245"/>
      <c r="D20" s="54"/>
      <c r="E20" s="54"/>
      <c r="F20" s="54" t="s">
        <v>870</v>
      </c>
      <c r="G20" s="213" t="str">
        <f>[4]Merkmale_Merkmalsgruppen!F18</f>
        <v>Flächenart d0165</v>
      </c>
      <c r="H20" s="62"/>
      <c r="I20" s="62"/>
      <c r="J20" s="62"/>
      <c r="K20" s="54"/>
      <c r="L20" s="54"/>
      <c r="M20" s="54"/>
      <c r="N20" s="54"/>
      <c r="O20" s="54"/>
      <c r="P20" s="245"/>
      <c r="Q20" s="51"/>
      <c r="R20" s="51"/>
      <c r="S20" s="54"/>
    </row>
    <row r="21" spans="1:19" s="247" customFormat="1" ht="12.75" x14ac:dyDescent="0.25">
      <c r="A21" s="245"/>
      <c r="B21" s="245"/>
      <c r="C21" s="245"/>
      <c r="D21" s="54"/>
      <c r="E21" s="54"/>
      <c r="F21" s="54" t="s">
        <v>871</v>
      </c>
      <c r="G21" s="213" t="str">
        <f>[4]Merkmale_Merkmalsgruppen!F19</f>
        <v>Flächenart d0165</v>
      </c>
      <c r="H21" s="62"/>
      <c r="I21" s="62"/>
      <c r="J21" s="62"/>
      <c r="K21" s="54"/>
      <c r="L21" s="54"/>
      <c r="M21" s="54"/>
      <c r="N21" s="54"/>
      <c r="O21" s="54"/>
      <c r="P21" s="245"/>
      <c r="Q21" s="51"/>
      <c r="R21" s="51"/>
      <c r="S21" s="54"/>
    </row>
    <row r="22" spans="1:19" s="247" customFormat="1" ht="12.75" x14ac:dyDescent="0.25">
      <c r="A22" s="245"/>
      <c r="B22" s="245"/>
      <c r="C22" s="245"/>
      <c r="D22" s="54"/>
      <c r="E22" s="54"/>
      <c r="F22" s="54" t="s">
        <v>872</v>
      </c>
      <c r="G22" s="213" t="str">
        <f>[4]Merkmale_Merkmalsgruppen!F20</f>
        <v>Raumnutzung</v>
      </c>
      <c r="H22" s="62"/>
      <c r="I22" s="62"/>
      <c r="J22" s="62"/>
      <c r="K22" s="54"/>
      <c r="L22" s="54"/>
      <c r="M22" s="54"/>
      <c r="N22" s="54"/>
      <c r="O22" s="54"/>
      <c r="P22" s="245"/>
      <c r="Q22" s="51"/>
      <c r="R22" s="51"/>
      <c r="S22" s="54"/>
    </row>
    <row r="23" spans="1:19" s="247" customFormat="1" ht="12.75" x14ac:dyDescent="0.25">
      <c r="A23" s="245"/>
      <c r="B23" s="245"/>
      <c r="C23" s="245"/>
      <c r="D23" s="54"/>
      <c r="E23" s="54"/>
      <c r="F23" s="54" t="s">
        <v>873</v>
      </c>
      <c r="G23" s="213" t="str">
        <f>[4]Merkmale_Merkmalsgruppen!F21</f>
        <v>Raumtyp</v>
      </c>
      <c r="H23" s="62"/>
      <c r="I23" s="62"/>
      <c r="J23" s="62"/>
      <c r="K23" s="54"/>
      <c r="L23" s="54"/>
      <c r="M23" s="54"/>
      <c r="N23" s="54"/>
      <c r="O23" s="54"/>
      <c r="P23" s="245"/>
      <c r="Q23" s="51"/>
      <c r="R23" s="51"/>
      <c r="S23" s="54"/>
    </row>
    <row r="24" spans="1:19" s="247" customFormat="1" ht="12.75" x14ac:dyDescent="0.25">
      <c r="A24" s="248"/>
      <c r="B24" s="245"/>
      <c r="C24" s="248"/>
      <c r="D24" s="54"/>
      <c r="E24" s="54"/>
      <c r="F24" s="54" t="s">
        <v>874</v>
      </c>
      <c r="G24" s="213" t="str">
        <f>[4]Merkmale_Merkmalsgruppen!F22</f>
        <v>Einheitstyp</v>
      </c>
      <c r="H24" s="62"/>
      <c r="I24" s="62"/>
      <c r="J24" s="62"/>
      <c r="K24" s="54"/>
      <c r="L24" s="54"/>
      <c r="M24" s="54"/>
      <c r="N24" s="54"/>
      <c r="O24" s="54"/>
      <c r="P24" s="248"/>
      <c r="Q24" s="51"/>
      <c r="R24" s="51"/>
      <c r="S24" s="54"/>
    </row>
    <row r="25" spans="1:19" s="249" customFormat="1" ht="12.75" x14ac:dyDescent="0.25">
      <c r="A25" s="248"/>
      <c r="B25" s="245"/>
      <c r="C25" s="248"/>
      <c r="D25" s="54"/>
      <c r="E25" s="54"/>
      <c r="F25" s="54" t="s">
        <v>875</v>
      </c>
      <c r="G25" s="213" t="str">
        <f>[4]Merkmale_Merkmalsgruppen!F23</f>
        <v>Einheitsnummer</v>
      </c>
      <c r="H25" s="62"/>
      <c r="I25" s="62"/>
      <c r="J25" s="62"/>
      <c r="K25" s="54"/>
      <c r="L25" s="54"/>
      <c r="M25" s="54"/>
      <c r="N25" s="54"/>
      <c r="O25" s="54"/>
      <c r="P25" s="248"/>
      <c r="Q25" s="51"/>
      <c r="R25" s="51"/>
      <c r="S25" s="54"/>
    </row>
    <row r="26" spans="1:19" s="249" customFormat="1" ht="12.75" x14ac:dyDescent="0.25">
      <c r="A26" s="248"/>
      <c r="B26" s="245"/>
      <c r="C26" s="248"/>
      <c r="D26" s="54"/>
      <c r="E26" s="54"/>
      <c r="F26" s="54" t="s">
        <v>876</v>
      </c>
      <c r="G26" s="213" t="str">
        <f>[4]Merkmale_Merkmalsgruppen!F24</f>
        <v>Raumnummer_Betrieb</v>
      </c>
      <c r="H26" s="62"/>
      <c r="I26" s="62"/>
      <c r="J26" s="62"/>
      <c r="K26" s="54"/>
      <c r="L26" s="54"/>
      <c r="M26" s="54"/>
      <c r="N26" s="54"/>
      <c r="O26" s="54"/>
      <c r="P26" s="248"/>
      <c r="Q26" s="51"/>
      <c r="R26" s="51"/>
      <c r="S26" s="54"/>
    </row>
    <row r="27" spans="1:19" s="249" customFormat="1" ht="12.75" x14ac:dyDescent="0.25">
      <c r="A27" s="245"/>
      <c r="B27" s="245"/>
      <c r="C27" s="245"/>
      <c r="D27" s="54"/>
      <c r="E27" s="54"/>
      <c r="F27" s="54" t="s">
        <v>877</v>
      </c>
      <c r="G27" s="213" t="str">
        <f>[4]Merkmale_Merkmalsgruppen!F25</f>
        <v>Raumbeschriftung</v>
      </c>
      <c r="H27" s="62"/>
      <c r="I27" s="62"/>
      <c r="J27" s="62"/>
      <c r="K27" s="54"/>
      <c r="L27" s="54"/>
      <c r="M27" s="54"/>
      <c r="N27" s="54"/>
      <c r="O27" s="54"/>
      <c r="P27" s="245"/>
      <c r="Q27" s="51"/>
      <c r="R27" s="51"/>
      <c r="S27" s="54"/>
    </row>
    <row r="28" spans="1:19" s="250" customFormat="1" x14ac:dyDescent="0.25">
      <c r="A28" s="245"/>
      <c r="B28" s="245"/>
      <c r="C28" s="245"/>
      <c r="D28" s="54"/>
      <c r="E28" s="54"/>
      <c r="F28" s="54" t="s">
        <v>878</v>
      </c>
      <c r="G28" s="213" t="str">
        <f>[4]Merkmale_Merkmalsgruppen!F26</f>
        <v>Reinigungsgruppe</v>
      </c>
      <c r="H28" s="62"/>
      <c r="I28" s="62"/>
      <c r="J28" s="62"/>
      <c r="K28" s="54"/>
      <c r="L28" s="54"/>
      <c r="M28" s="54"/>
      <c r="N28" s="54"/>
      <c r="O28" s="54"/>
      <c r="P28" s="245"/>
      <c r="Q28" s="51"/>
      <c r="R28" s="51"/>
      <c r="S28" s="54"/>
    </row>
    <row r="29" spans="1:19" s="250" customFormat="1" x14ac:dyDescent="0.25">
      <c r="A29" s="245"/>
      <c r="B29" s="245"/>
      <c r="C29" s="245"/>
      <c r="D29" s="54"/>
      <c r="E29" s="54"/>
      <c r="F29" s="54" t="s">
        <v>879</v>
      </c>
      <c r="G29" s="213" t="str">
        <f>[4]Merkmale_Merkmalsgruppen!F27</f>
        <v>Flächenlast</v>
      </c>
      <c r="H29" s="62"/>
      <c r="I29" s="62"/>
      <c r="J29" s="62"/>
      <c r="K29" s="54" t="s">
        <v>789</v>
      </c>
      <c r="L29" s="54" t="s">
        <v>789</v>
      </c>
      <c r="M29" s="54" t="s">
        <v>789</v>
      </c>
      <c r="N29" s="54"/>
      <c r="O29" s="54"/>
      <c r="P29" s="245"/>
      <c r="Q29" s="51"/>
      <c r="R29" s="51"/>
      <c r="S29" s="54"/>
    </row>
    <row r="30" spans="1:19" s="250" customFormat="1" x14ac:dyDescent="0.25">
      <c r="A30" s="245"/>
      <c r="B30" s="245"/>
      <c r="C30" s="245"/>
      <c r="D30" s="54"/>
      <c r="E30" s="54"/>
      <c r="F30" s="54" t="s">
        <v>880</v>
      </c>
      <c r="G30" s="213" t="str">
        <f>[4]Merkmale_Merkmalsgruppen!F28</f>
        <v>Punktlast</v>
      </c>
      <c r="H30" s="62"/>
      <c r="I30" s="62"/>
      <c r="J30" s="62"/>
      <c r="K30" s="54"/>
      <c r="L30" s="54"/>
      <c r="M30" s="54"/>
      <c r="N30" s="54"/>
      <c r="O30" s="54"/>
      <c r="P30" s="245"/>
      <c r="Q30" s="51"/>
      <c r="R30" s="51"/>
      <c r="S30" s="54"/>
    </row>
    <row r="31" spans="1:19" s="250" customFormat="1" x14ac:dyDescent="0.25">
      <c r="A31" s="245"/>
      <c r="B31" s="245"/>
      <c r="C31" s="245"/>
      <c r="D31" s="54"/>
      <c r="E31" s="54"/>
      <c r="F31" s="54" t="s">
        <v>881</v>
      </c>
      <c r="G31" s="213" t="str">
        <f>[4]Merkmale_Merkmalsgruppen!F29</f>
        <v>Energiebezugsfläche</v>
      </c>
      <c r="H31" s="62"/>
      <c r="I31" s="62"/>
      <c r="J31" s="62"/>
      <c r="K31" s="54" t="s">
        <v>789</v>
      </c>
      <c r="L31" s="54" t="s">
        <v>789</v>
      </c>
      <c r="M31" s="54" t="s">
        <v>789</v>
      </c>
      <c r="N31" s="54"/>
      <c r="O31" s="54"/>
      <c r="P31" s="245"/>
      <c r="Q31" s="51"/>
      <c r="R31" s="51"/>
      <c r="S31" s="54"/>
    </row>
    <row r="32" spans="1:19" s="250" customFormat="1" x14ac:dyDescent="0.25">
      <c r="A32" s="245"/>
      <c r="B32" s="245"/>
      <c r="C32" s="245"/>
      <c r="D32" s="54"/>
      <c r="E32" s="54"/>
      <c r="F32" s="54" t="s">
        <v>882</v>
      </c>
      <c r="G32" s="213" t="str">
        <f>[4]Merkmale_Merkmalsgruppen!F30</f>
        <v>Fensterfläche</v>
      </c>
      <c r="H32" s="62"/>
      <c r="I32" s="62"/>
      <c r="J32" s="62"/>
      <c r="K32" s="54"/>
      <c r="L32" s="54"/>
      <c r="M32" s="54"/>
      <c r="N32" s="54"/>
      <c r="O32" s="54"/>
      <c r="P32" s="245"/>
      <c r="Q32" s="51"/>
      <c r="R32" s="51"/>
      <c r="S32" s="54"/>
    </row>
    <row r="33" spans="1:19" s="250" customFormat="1" x14ac:dyDescent="0.25">
      <c r="A33" s="245"/>
      <c r="B33" s="245"/>
      <c r="C33" s="245"/>
      <c r="D33" s="54"/>
      <c r="E33" s="54"/>
      <c r="F33" s="54" t="s">
        <v>883</v>
      </c>
      <c r="G33" s="213" t="str">
        <f>[4]Merkmale_Merkmalsgruppen!F31</f>
        <v>Fenster öffenbar</v>
      </c>
      <c r="H33" s="62"/>
      <c r="I33" s="62"/>
      <c r="J33" s="62"/>
      <c r="K33" s="54" t="s">
        <v>789</v>
      </c>
      <c r="L33" s="54" t="s">
        <v>789</v>
      </c>
      <c r="M33" s="54" t="s">
        <v>789</v>
      </c>
      <c r="N33" s="54"/>
      <c r="O33" s="54"/>
      <c r="P33" s="245"/>
      <c r="Q33" s="51"/>
      <c r="R33" s="51"/>
      <c r="S33" s="54"/>
    </row>
    <row r="34" spans="1:19" s="250" customFormat="1" x14ac:dyDescent="0.25">
      <c r="A34" s="245"/>
      <c r="B34" s="245"/>
      <c r="C34" s="245"/>
      <c r="D34" s="54"/>
      <c r="E34" s="54"/>
      <c r="F34" s="54" t="s">
        <v>884</v>
      </c>
      <c r="G34" s="213" t="str">
        <f>[4]Merkmale_Merkmalsgruppen!F32</f>
        <v>Raumnutzer</v>
      </c>
      <c r="H34" s="62"/>
      <c r="I34" s="62"/>
      <c r="J34" s="62"/>
      <c r="K34" s="54" t="s">
        <v>789</v>
      </c>
      <c r="L34" s="54" t="s">
        <v>789</v>
      </c>
      <c r="M34" s="54" t="s">
        <v>789</v>
      </c>
      <c r="N34" s="54"/>
      <c r="O34" s="54"/>
      <c r="P34" s="245"/>
      <c r="Q34" s="51"/>
      <c r="R34" s="51"/>
      <c r="S34" s="54"/>
    </row>
    <row r="35" spans="1:19" s="250" customFormat="1" x14ac:dyDescent="0.25">
      <c r="B35" s="245"/>
      <c r="D35" s="54"/>
      <c r="E35" s="54"/>
      <c r="F35" s="54" t="s">
        <v>885</v>
      </c>
      <c r="G35" s="213" t="str">
        <f>[4]Merkmale_Merkmalsgruppen!F33</f>
        <v>Sonnenschutz</v>
      </c>
      <c r="H35" s="62"/>
      <c r="I35" s="62"/>
      <c r="J35" s="62"/>
      <c r="K35" s="54" t="s">
        <v>789</v>
      </c>
      <c r="L35" s="54" t="s">
        <v>789</v>
      </c>
      <c r="M35" s="54" t="s">
        <v>789</v>
      </c>
      <c r="N35" s="54"/>
      <c r="O35" s="54"/>
      <c r="Q35" s="51"/>
      <c r="R35" s="51"/>
      <c r="S35" s="54"/>
    </row>
    <row r="36" spans="1:19" s="250" customFormat="1" x14ac:dyDescent="0.25">
      <c r="B36" s="245"/>
      <c r="D36" s="54"/>
      <c r="E36" s="54"/>
      <c r="F36" s="54" t="s">
        <v>886</v>
      </c>
      <c r="G36" s="213" t="str">
        <f>[4]Merkmale_Merkmalsgruppen!F34</f>
        <v>Befeuchtet</v>
      </c>
      <c r="H36" s="62"/>
      <c r="I36" s="62"/>
      <c r="J36" s="62"/>
      <c r="K36" s="54" t="s">
        <v>789</v>
      </c>
      <c r="L36" s="54" t="s">
        <v>789</v>
      </c>
      <c r="M36" s="54" t="s">
        <v>789</v>
      </c>
      <c r="N36" s="54"/>
      <c r="O36" s="54"/>
      <c r="Q36" s="51"/>
      <c r="R36" s="51"/>
      <c r="S36" s="54"/>
    </row>
    <row r="37" spans="1:19" s="250" customFormat="1" x14ac:dyDescent="0.25">
      <c r="B37" s="245"/>
      <c r="D37" s="54"/>
      <c r="E37" s="54"/>
      <c r="F37" s="54" t="s">
        <v>887</v>
      </c>
      <c r="G37" s="213" t="str">
        <f>[4]Merkmale_Merkmalsgruppen!F35</f>
        <v>Entfeuchtet</v>
      </c>
      <c r="H37" s="62"/>
      <c r="I37" s="62"/>
      <c r="J37" s="62"/>
      <c r="K37" s="54" t="s">
        <v>789</v>
      </c>
      <c r="L37" s="54" t="s">
        <v>789</v>
      </c>
      <c r="M37" s="54" t="s">
        <v>789</v>
      </c>
      <c r="N37" s="54"/>
      <c r="O37" s="54"/>
      <c r="Q37" s="51"/>
      <c r="R37" s="51"/>
      <c r="S37" s="54"/>
    </row>
    <row r="38" spans="1:19" s="250" customFormat="1" x14ac:dyDescent="0.25">
      <c r="B38" s="245"/>
      <c r="D38" s="54"/>
      <c r="E38" s="54"/>
      <c r="F38" s="54" t="s">
        <v>888</v>
      </c>
      <c r="G38" s="213" t="str">
        <f>[4]Merkmale_Merkmalsgruppen!F36</f>
        <v>Vermietbarkeit</v>
      </c>
      <c r="H38" s="62"/>
      <c r="I38" s="62"/>
      <c r="J38" s="62"/>
      <c r="K38" s="54"/>
      <c r="L38" s="54"/>
      <c r="M38" s="54"/>
      <c r="N38" s="54"/>
      <c r="O38" s="54"/>
      <c r="Q38" s="51"/>
      <c r="R38" s="51"/>
      <c r="S38" s="54"/>
    </row>
    <row r="39" spans="1:19" s="250" customFormat="1" x14ac:dyDescent="0.25">
      <c r="B39" s="245"/>
      <c r="D39" s="54"/>
      <c r="E39" s="54"/>
      <c r="F39" s="54" t="s">
        <v>889</v>
      </c>
      <c r="G39" s="213" t="str">
        <f>[4]Merkmale_Merkmalsgruppen!F37</f>
        <v>Aussenraum</v>
      </c>
      <c r="H39" s="62"/>
      <c r="I39" s="62"/>
      <c r="J39" s="62"/>
      <c r="K39" s="54"/>
      <c r="L39" s="54"/>
      <c r="M39" s="54"/>
      <c r="N39" s="54"/>
      <c r="O39" s="54"/>
      <c r="Q39" s="51"/>
      <c r="R39" s="51"/>
      <c r="S39" s="54"/>
    </row>
    <row r="40" spans="1:19" s="250" customFormat="1" x14ac:dyDescent="0.25">
      <c r="B40" s="245"/>
      <c r="D40" s="54"/>
      <c r="E40" s="54"/>
      <c r="F40" s="54" t="s">
        <v>890</v>
      </c>
      <c r="G40" s="213" t="str">
        <f>[4]Merkmale_Merkmalsgruppen!F38</f>
        <v>Nutzungsart</v>
      </c>
      <c r="H40" s="62"/>
      <c r="I40" s="62"/>
      <c r="J40" s="62"/>
      <c r="K40" s="54"/>
      <c r="L40" s="54"/>
      <c r="M40" s="54"/>
      <c r="N40" s="54"/>
      <c r="O40" s="54"/>
      <c r="Q40" s="51"/>
      <c r="R40" s="51"/>
      <c r="S40" s="54"/>
    </row>
    <row r="41" spans="1:19" s="250" customFormat="1" x14ac:dyDescent="0.25">
      <c r="B41" s="245"/>
      <c r="D41" s="54"/>
      <c r="E41" s="54"/>
      <c r="F41" s="54" t="s">
        <v>891</v>
      </c>
      <c r="G41" s="213" t="str">
        <f>[4]Merkmale_Merkmalsgruppen!F39</f>
        <v>Raumnutzhöhe</v>
      </c>
      <c r="H41" s="62"/>
      <c r="I41" s="62"/>
      <c r="J41" s="62"/>
      <c r="K41" s="54"/>
      <c r="L41" s="54"/>
      <c r="M41" s="54"/>
      <c r="N41" s="54"/>
      <c r="O41" s="54"/>
      <c r="Q41" s="51"/>
      <c r="R41" s="51"/>
      <c r="S41" s="54"/>
    </row>
    <row r="42" spans="1:19" s="250" customFormat="1" x14ac:dyDescent="0.25">
      <c r="B42" s="245"/>
      <c r="D42" s="54"/>
      <c r="E42" s="54"/>
      <c r="F42" s="54" t="s">
        <v>892</v>
      </c>
      <c r="G42" s="213" t="str">
        <f>[4]Merkmale_Merkmalsgruppen!F40</f>
        <v>Personenbelegung geplant</v>
      </c>
      <c r="H42" s="62"/>
      <c r="I42" s="62"/>
      <c r="J42" s="62"/>
      <c r="K42" s="54"/>
      <c r="L42" s="54"/>
      <c r="M42" s="54"/>
      <c r="N42" s="54"/>
      <c r="O42" s="54"/>
      <c r="Q42" s="51"/>
      <c r="R42" s="51"/>
      <c r="S42" s="54"/>
    </row>
    <row r="43" spans="1:19" s="250" customFormat="1" x14ac:dyDescent="0.25">
      <c r="B43" s="245"/>
      <c r="D43" s="54"/>
      <c r="E43" s="54"/>
      <c r="F43" s="54" t="s">
        <v>893</v>
      </c>
      <c r="G43" s="213" t="str">
        <f>[4]Merkmale_Merkmalsgruppen!F41</f>
        <v>Personenbelegung ist</v>
      </c>
      <c r="H43" s="62"/>
      <c r="I43" s="62"/>
      <c r="J43" s="62"/>
      <c r="K43" s="54"/>
      <c r="L43" s="54"/>
      <c r="M43" s="54"/>
      <c r="N43" s="54"/>
      <c r="O43" s="54"/>
      <c r="Q43" s="51"/>
      <c r="R43" s="51"/>
      <c r="S43" s="54"/>
    </row>
    <row r="44" spans="1:19" s="250" customFormat="1" x14ac:dyDescent="0.25">
      <c r="B44" s="245"/>
      <c r="D44" s="54"/>
      <c r="E44" s="54"/>
      <c r="F44" s="54" t="s">
        <v>894</v>
      </c>
      <c r="G44" s="213" t="str">
        <f>[4]Merkmale_Merkmalsgruppen!F42</f>
        <v>Bodenbelag</v>
      </c>
      <c r="H44" s="62"/>
      <c r="I44" s="62"/>
      <c r="J44" s="62"/>
      <c r="K44" s="54"/>
      <c r="L44" s="54"/>
      <c r="M44" s="54"/>
      <c r="N44" s="54"/>
      <c r="O44" s="54"/>
      <c r="Q44" s="51"/>
      <c r="R44" s="51"/>
      <c r="S44" s="54"/>
    </row>
    <row r="45" spans="1:19" s="250" customFormat="1" x14ac:dyDescent="0.25">
      <c r="B45" s="245"/>
      <c r="D45" s="54"/>
      <c r="E45" s="54"/>
      <c r="F45" s="54" t="s">
        <v>895</v>
      </c>
      <c r="G45" s="213" t="str">
        <f>[4]Merkmale_Merkmalsgruppen!F43</f>
        <v>Wandbelag</v>
      </c>
      <c r="H45" s="62"/>
      <c r="I45" s="62"/>
      <c r="J45" s="62"/>
      <c r="K45" s="54" t="s">
        <v>789</v>
      </c>
      <c r="L45" s="54" t="s">
        <v>789</v>
      </c>
      <c r="M45" s="54" t="s">
        <v>789</v>
      </c>
      <c r="N45" s="54"/>
      <c r="O45" s="54"/>
      <c r="Q45" s="51"/>
      <c r="R45" s="51"/>
      <c r="S45" s="54"/>
    </row>
    <row r="46" spans="1:19" s="250" customFormat="1" x14ac:dyDescent="0.25">
      <c r="B46" s="245"/>
      <c r="D46" s="54"/>
      <c r="E46" s="54"/>
      <c r="F46" s="54" t="s">
        <v>896</v>
      </c>
      <c r="G46" s="213" t="str">
        <f>[4]Merkmale_Merkmalsgruppen!F44</f>
        <v>Deckenmaterial</v>
      </c>
      <c r="H46" s="62"/>
      <c r="I46" s="62"/>
      <c r="J46" s="62"/>
      <c r="K46" s="54"/>
      <c r="L46" s="54"/>
      <c r="M46" s="54"/>
      <c r="N46" s="54"/>
      <c r="O46" s="54"/>
      <c r="Q46" s="51"/>
      <c r="R46" s="51"/>
      <c r="S46" s="54"/>
    </row>
    <row r="47" spans="1:19" s="250" customFormat="1" x14ac:dyDescent="0.25">
      <c r="B47" s="245"/>
      <c r="D47" s="54"/>
      <c r="E47" s="54"/>
      <c r="F47" s="54" t="s">
        <v>897</v>
      </c>
      <c r="G47" s="213" t="str">
        <f>[4]Merkmale_Merkmalsgruppen!F45</f>
        <v>Natürliche Belüftung</v>
      </c>
      <c r="H47" s="62"/>
      <c r="I47" s="62"/>
      <c r="J47" s="62"/>
      <c r="K47" s="54" t="s">
        <v>789</v>
      </c>
      <c r="L47" s="54" t="s">
        <v>789</v>
      </c>
      <c r="M47" s="54" t="s">
        <v>789</v>
      </c>
      <c r="N47" s="54"/>
      <c r="O47" s="54"/>
      <c r="Q47" s="51"/>
      <c r="R47" s="51"/>
      <c r="S47" s="54"/>
    </row>
    <row r="48" spans="1:19" s="250" customFormat="1" x14ac:dyDescent="0.25">
      <c r="B48" s="245"/>
      <c r="D48" s="54"/>
      <c r="E48" s="54"/>
      <c r="F48" s="54" t="s">
        <v>898</v>
      </c>
      <c r="G48" s="213" t="str">
        <f>[4]Merkmale_Merkmalsgruppen!F46</f>
        <v>Natürliche Luftwechselrate</v>
      </c>
      <c r="H48" s="62"/>
      <c r="I48" s="62"/>
      <c r="J48" s="62"/>
      <c r="K48" s="54"/>
      <c r="L48" s="54"/>
      <c r="M48" s="54"/>
      <c r="N48" s="54"/>
      <c r="O48" s="54"/>
      <c r="Q48" s="51"/>
      <c r="R48" s="51"/>
      <c r="S48" s="54"/>
    </row>
    <row r="49" spans="2:19" s="250" customFormat="1" x14ac:dyDescent="0.25">
      <c r="B49" s="245"/>
      <c r="D49" s="54"/>
      <c r="E49" s="54"/>
      <c r="F49" s="54" t="s">
        <v>899</v>
      </c>
      <c r="G49" s="213" t="str">
        <f>[4]Merkmale_Merkmalsgruppen!F47</f>
        <v>Mechanische Belüftung</v>
      </c>
      <c r="H49" s="62"/>
      <c r="I49" s="62"/>
      <c r="J49" s="62"/>
      <c r="K49" s="54" t="s">
        <v>789</v>
      </c>
      <c r="L49" s="54" t="s">
        <v>789</v>
      </c>
      <c r="M49" s="54" t="s">
        <v>789</v>
      </c>
      <c r="N49" s="54"/>
      <c r="O49" s="54"/>
      <c r="Q49" s="51"/>
      <c r="R49" s="51"/>
      <c r="S49" s="54"/>
    </row>
    <row r="50" spans="2:19" s="250" customFormat="1" x14ac:dyDescent="0.25">
      <c r="B50" s="245"/>
      <c r="D50" s="54"/>
      <c r="E50" s="54"/>
      <c r="F50" s="54" t="s">
        <v>900</v>
      </c>
      <c r="G50" s="213" t="str">
        <f>[4]Merkmale_Merkmalsgruppen!F48</f>
        <v>Mechanische Luftwechselrate</v>
      </c>
      <c r="H50" s="62"/>
      <c r="I50" s="62"/>
      <c r="J50" s="62"/>
      <c r="K50" s="54"/>
      <c r="L50" s="54"/>
      <c r="M50" s="54"/>
      <c r="N50" s="54"/>
      <c r="O50" s="54"/>
      <c r="Q50" s="51"/>
      <c r="R50" s="51"/>
      <c r="S50" s="54"/>
    </row>
    <row r="51" spans="2:19" s="250" customFormat="1" x14ac:dyDescent="0.25">
      <c r="B51" s="245"/>
      <c r="D51" s="54"/>
      <c r="E51" s="54"/>
      <c r="F51" s="54" t="s">
        <v>901</v>
      </c>
      <c r="G51" s="213" t="str">
        <f>[4]Merkmale_Merkmalsgruppen!F49</f>
        <v>Klimatisiert</v>
      </c>
      <c r="H51" s="62"/>
      <c r="I51" s="62"/>
      <c r="J51" s="62"/>
      <c r="K51" s="54"/>
      <c r="L51" s="54"/>
      <c r="M51" s="54"/>
      <c r="N51" s="54"/>
      <c r="O51" s="54"/>
      <c r="Q51" s="51"/>
      <c r="R51" s="51"/>
      <c r="S51" s="54"/>
    </row>
    <row r="52" spans="2:19" s="250" customFormat="1" x14ac:dyDescent="0.25">
      <c r="B52" s="245"/>
      <c r="D52" s="54"/>
      <c r="E52" s="54"/>
      <c r="F52" s="54" t="s">
        <v>902</v>
      </c>
      <c r="G52" s="213" t="str">
        <f>[4]Merkmale_Merkmalsgruppen!F50</f>
        <v>Temperatur Ziel</v>
      </c>
      <c r="H52" s="62"/>
      <c r="I52" s="62"/>
      <c r="J52" s="62"/>
      <c r="K52" s="54" t="s">
        <v>789</v>
      </c>
      <c r="L52" s="54" t="s">
        <v>789</v>
      </c>
      <c r="M52" s="54" t="s">
        <v>789</v>
      </c>
      <c r="N52" s="54"/>
      <c r="O52" s="54"/>
      <c r="Q52" s="51"/>
      <c r="R52" s="51"/>
      <c r="S52" s="54"/>
    </row>
    <row r="53" spans="2:19" s="250" customFormat="1" x14ac:dyDescent="0.25">
      <c r="B53" s="245"/>
      <c r="D53" s="54"/>
      <c r="E53" s="54"/>
      <c r="F53" s="54" t="s">
        <v>903</v>
      </c>
      <c r="G53" s="213" t="str">
        <f>[4]Merkmale_Merkmalsgruppen!F51</f>
        <v>Luftfeuchtigkeit Ziel</v>
      </c>
      <c r="H53" s="62"/>
      <c r="I53" s="62"/>
      <c r="J53" s="62"/>
      <c r="K53" s="54"/>
      <c r="L53" s="54"/>
      <c r="M53" s="54"/>
      <c r="N53" s="54"/>
      <c r="O53" s="54"/>
      <c r="Q53" s="51"/>
      <c r="R53" s="51"/>
      <c r="S53" s="54"/>
    </row>
    <row r="54" spans="2:19" s="250" customFormat="1" x14ac:dyDescent="0.25">
      <c r="B54" s="245"/>
      <c r="D54" s="54"/>
      <c r="E54" s="54"/>
      <c r="F54" s="54" t="s">
        <v>904</v>
      </c>
      <c r="G54" s="213" t="str">
        <f>[4]Merkmale_Merkmalsgruppen!F52</f>
        <v>Fluchtweg</v>
      </c>
      <c r="H54" s="62"/>
      <c r="I54" s="62"/>
      <c r="J54" s="62"/>
      <c r="K54" s="54"/>
      <c r="L54" s="54"/>
      <c r="M54" s="54"/>
      <c r="N54" s="54"/>
      <c r="O54" s="54"/>
      <c r="Q54" s="51"/>
      <c r="R54" s="51"/>
      <c r="S54" s="54"/>
    </row>
    <row r="55" spans="2:19" s="250" customFormat="1" x14ac:dyDescent="0.25">
      <c r="B55" s="245"/>
      <c r="D55" s="54"/>
      <c r="E55" s="54"/>
      <c r="F55" s="54" t="s">
        <v>905</v>
      </c>
      <c r="G55" s="213" t="str">
        <f>[4]Merkmale_Merkmalsgruppen!F53</f>
        <v>Bruttofläche</v>
      </c>
      <c r="H55" s="62"/>
      <c r="I55" s="62"/>
      <c r="J55" s="62"/>
      <c r="K55" s="54"/>
      <c r="L55" s="54"/>
      <c r="M55" s="54"/>
      <c r="N55" s="54"/>
      <c r="O55" s="54"/>
      <c r="Q55" s="51"/>
      <c r="R55" s="51"/>
      <c r="S55" s="54"/>
    </row>
    <row r="56" spans="2:19" s="250" customFormat="1" x14ac:dyDescent="0.25">
      <c r="B56" s="245"/>
      <c r="D56" s="54"/>
      <c r="E56" s="54"/>
      <c r="F56" s="54" t="s">
        <v>906</v>
      </c>
      <c r="G56" s="213" t="str">
        <f>[4]Merkmale_Merkmalsgruppen!F54</f>
        <v>Bruttovolumen</v>
      </c>
      <c r="H56" s="62"/>
      <c r="I56" s="62"/>
      <c r="J56" s="62"/>
      <c r="K56" s="54"/>
      <c r="L56" s="54"/>
      <c r="M56" s="54"/>
      <c r="N56" s="54"/>
      <c r="O56" s="54"/>
      <c r="Q56" s="51"/>
      <c r="R56" s="51"/>
      <c r="S56" s="54"/>
    </row>
    <row r="57" spans="2:19" s="250" customFormat="1" x14ac:dyDescent="0.25">
      <c r="B57" s="245"/>
      <c r="D57" s="54"/>
      <c r="E57" s="54"/>
      <c r="F57" s="54" t="s">
        <v>907</v>
      </c>
      <c r="G57" s="213" t="str">
        <f>[4]Merkmale_Merkmalsgruppen!F55</f>
        <v>Nettofläche</v>
      </c>
      <c r="H57" s="62"/>
      <c r="I57" s="62"/>
      <c r="J57" s="62"/>
      <c r="K57" s="54"/>
      <c r="L57" s="54"/>
      <c r="M57" s="54"/>
      <c r="N57" s="54"/>
      <c r="O57" s="54"/>
      <c r="Q57" s="51"/>
      <c r="R57" s="51"/>
      <c r="S57" s="54"/>
    </row>
    <row r="58" spans="2:19" s="250" customFormat="1" x14ac:dyDescent="0.25">
      <c r="B58" s="245"/>
      <c r="D58" s="54"/>
      <c r="E58" s="54"/>
      <c r="F58" s="54" t="s">
        <v>908</v>
      </c>
      <c r="G58" s="213" t="str">
        <f>[4]Merkmale_Merkmalsgruppen!F56</f>
        <v>Nettovolumen</v>
      </c>
      <c r="H58" s="62"/>
      <c r="I58" s="62"/>
      <c r="J58" s="62"/>
      <c r="K58" s="54"/>
      <c r="L58" s="54"/>
      <c r="M58" s="54"/>
      <c r="N58" s="54"/>
      <c r="O58" s="54"/>
      <c r="Q58" s="51"/>
      <c r="R58" s="51"/>
      <c r="S58" s="54"/>
    </row>
    <row r="59" spans="2:19" x14ac:dyDescent="0.25">
      <c r="G59" s="213" t="str">
        <f>[4]Merkmale_Merkmalsgruppen!F57</f>
        <v>Wandfläche netto</v>
      </c>
      <c r="L59" s="57"/>
      <c r="M59" s="57"/>
      <c r="N59" s="57"/>
    </row>
    <row r="60" spans="2:19" x14ac:dyDescent="0.25">
      <c r="G60" s="213" t="str">
        <f>[4]Merkmale_Merkmalsgruppen!F58</f>
        <v>Höhe</v>
      </c>
      <c r="L60" s="57"/>
      <c r="M60" s="57"/>
      <c r="N60" s="57"/>
    </row>
    <row r="61" spans="2:19" x14ac:dyDescent="0.25">
      <c r="L61" s="57"/>
      <c r="M61" s="57"/>
      <c r="N61" s="57"/>
    </row>
    <row r="62" spans="2:19" x14ac:dyDescent="0.25">
      <c r="L62" s="57"/>
      <c r="M62" s="57"/>
      <c r="N62" s="57"/>
    </row>
  </sheetData>
  <phoneticPr fontId="31" type="noConversion"/>
  <dataValidations count="2">
    <dataValidation type="date" allowBlank="1" showInputMessage="1" showErrorMessage="1" promptTitle="Versionsdatum" prompt="Datum im Format YYYY-MM-DD eintragen." sqref="R8:R1997" xr:uid="{00000000-0002-0000-0600-000000000000}">
      <formula1>DATE(2000,1,1)</formula1>
      <formula2>DATE(2100,12,31)</formula2>
    </dataValidation>
    <dataValidation type="list" allowBlank="1" sqref="Q2:Q2000" xr:uid="{00000000-0002-0000-0600-000001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42"/>
  <sheetViews>
    <sheetView showGridLines="0" zoomScaleNormal="100" workbookViewId="0">
      <selection activeCell="F9" sqref="F9"/>
    </sheetView>
  </sheetViews>
  <sheetFormatPr baseColWidth="10" defaultColWidth="11.42578125" defaultRowHeight="14.25" outlineLevelCol="1" x14ac:dyDescent="0.2"/>
  <cols>
    <col min="1" max="1" width="5.5703125" style="36" bestFit="1" customWidth="1"/>
    <col min="2" max="2" width="24.140625" style="36" bestFit="1" customWidth="1"/>
    <col min="3" max="3" width="3.28515625" style="36" bestFit="1" customWidth="1"/>
    <col min="4" max="6" width="25.7109375" style="183" customWidth="1"/>
    <col min="7" max="7" width="31.85546875" style="184" bestFit="1" customWidth="1"/>
    <col min="8" max="8" width="24.28515625" style="184" customWidth="1"/>
    <col min="9" max="9" width="6.5703125" style="184" customWidth="1"/>
    <col min="10" max="10" width="6.5703125" style="30" customWidth="1"/>
    <col min="11" max="11" width="23.42578125" style="30" bestFit="1" customWidth="1"/>
    <col min="12" max="12" width="20.42578125" style="36" bestFit="1" customWidth="1"/>
    <col min="13" max="13" width="8.42578125" style="104" customWidth="1"/>
    <col min="14" max="14" width="13.42578125" style="63" bestFit="1" customWidth="1" outlineLevel="1"/>
    <col min="15" max="15" width="1.28515625" style="63" customWidth="1" outlineLevel="1"/>
    <col min="16" max="16" width="6.7109375" style="63" customWidth="1" outlineLevel="1"/>
    <col min="17" max="21" width="11.42578125" style="36" customWidth="1"/>
    <col min="22" max="16384" width="11.42578125" style="36"/>
  </cols>
  <sheetData>
    <row r="1" spans="1:19" s="196" customFormat="1" ht="120" customHeight="1" x14ac:dyDescent="0.25">
      <c r="A1" s="95" t="s">
        <v>0</v>
      </c>
      <c r="B1" s="93" t="s">
        <v>1</v>
      </c>
      <c r="C1" s="94" t="s">
        <v>119</v>
      </c>
      <c r="D1" s="242" t="s">
        <v>362</v>
      </c>
      <c r="E1" s="242" t="s">
        <v>363</v>
      </c>
      <c r="F1" s="242" t="s">
        <v>364</v>
      </c>
      <c r="G1" s="242" t="s">
        <v>365</v>
      </c>
      <c r="H1" s="242" t="s">
        <v>11</v>
      </c>
      <c r="I1" s="242" t="s">
        <v>13</v>
      </c>
      <c r="J1" s="242" t="s">
        <v>14</v>
      </c>
      <c r="K1" s="242" t="s">
        <v>366</v>
      </c>
      <c r="L1" s="242" t="s">
        <v>367</v>
      </c>
      <c r="M1" s="242" t="s">
        <v>228</v>
      </c>
      <c r="N1" s="242" t="s">
        <v>368</v>
      </c>
      <c r="O1" s="243"/>
      <c r="P1" s="101" t="s">
        <v>369</v>
      </c>
      <c r="Q1" s="196" t="s">
        <v>26</v>
      </c>
      <c r="R1" s="244" t="s">
        <v>27</v>
      </c>
      <c r="S1" s="244" t="s">
        <v>28</v>
      </c>
    </row>
    <row r="2" spans="1:19" s="117" customFormat="1" ht="15" customHeight="1" x14ac:dyDescent="0.25">
      <c r="A2" s="49"/>
      <c r="B2" s="113" t="s">
        <v>31</v>
      </c>
      <c r="C2" s="49"/>
      <c r="D2" s="59"/>
      <c r="E2" s="60"/>
      <c r="F2" s="60"/>
      <c r="G2" s="60"/>
      <c r="H2" s="60"/>
      <c r="I2" s="60"/>
      <c r="J2" s="59"/>
      <c r="K2" s="59"/>
      <c r="L2" s="59"/>
      <c r="M2" s="59"/>
      <c r="N2" s="59"/>
      <c r="O2" s="49"/>
      <c r="Q2" s="60"/>
      <c r="R2" s="59"/>
      <c r="S2" s="60"/>
    </row>
    <row r="3" spans="1:19" s="92" customFormat="1" ht="15" customHeight="1" x14ac:dyDescent="0.25">
      <c r="A3" s="49"/>
      <c r="B3" s="113" t="s">
        <v>32</v>
      </c>
      <c r="C3" s="49"/>
      <c r="D3" s="59"/>
      <c r="E3" s="60"/>
      <c r="F3" s="60"/>
      <c r="G3" s="60"/>
      <c r="H3" s="60"/>
      <c r="I3" s="60"/>
      <c r="J3" s="59"/>
      <c r="K3" s="59"/>
      <c r="L3" s="59"/>
      <c r="M3" s="59"/>
      <c r="N3" s="59"/>
      <c r="O3" s="49"/>
      <c r="Q3" s="60"/>
      <c r="R3" s="59"/>
      <c r="S3" s="60"/>
    </row>
    <row r="4" spans="1:19" s="30" customFormat="1" ht="15" customHeight="1" x14ac:dyDescent="0.25">
      <c r="A4" s="49"/>
      <c r="B4" s="113" t="s">
        <v>33</v>
      </c>
      <c r="C4" s="49"/>
      <c r="D4" s="59" t="s">
        <v>34</v>
      </c>
      <c r="E4" s="60" t="s">
        <v>34</v>
      </c>
      <c r="F4" s="60" t="s">
        <v>34</v>
      </c>
      <c r="G4" s="60" t="s">
        <v>36</v>
      </c>
      <c r="H4" s="60" t="s">
        <v>35</v>
      </c>
      <c r="I4" s="60" t="s">
        <v>37</v>
      </c>
      <c r="J4" s="59" t="s">
        <v>38</v>
      </c>
      <c r="K4" s="59" t="s">
        <v>34</v>
      </c>
      <c r="L4" s="59" t="s">
        <v>34</v>
      </c>
      <c r="M4" s="59" t="s">
        <v>34</v>
      </c>
      <c r="N4" s="59" t="s">
        <v>34</v>
      </c>
      <c r="O4" s="49"/>
      <c r="Q4" s="59" t="s">
        <v>34</v>
      </c>
      <c r="R4" s="59" t="s">
        <v>34</v>
      </c>
      <c r="S4" s="59" t="s">
        <v>34</v>
      </c>
    </row>
    <row r="5" spans="1:19" s="30" customFormat="1" ht="15" customHeight="1" x14ac:dyDescent="0.25">
      <c r="A5" s="49"/>
      <c r="B5" s="113" t="s">
        <v>39</v>
      </c>
      <c r="C5" s="49"/>
      <c r="D5" s="59"/>
      <c r="E5" s="60" t="s">
        <v>41</v>
      </c>
      <c r="F5" s="60"/>
      <c r="G5" s="60" t="s">
        <v>40</v>
      </c>
      <c r="H5" s="60"/>
      <c r="I5" s="60"/>
      <c r="J5" s="59"/>
      <c r="K5" s="59"/>
      <c r="L5" s="59"/>
      <c r="M5" s="59" t="s">
        <v>40</v>
      </c>
      <c r="N5" s="59" t="s">
        <v>40</v>
      </c>
      <c r="O5" s="49"/>
      <c r="Q5" s="59" t="s">
        <v>40</v>
      </c>
      <c r="R5" s="59" t="s">
        <v>40</v>
      </c>
      <c r="S5" s="59" t="s">
        <v>40</v>
      </c>
    </row>
    <row r="6" spans="1:19" s="30" customFormat="1" ht="15" customHeight="1" x14ac:dyDescent="0.25">
      <c r="A6" s="49"/>
      <c r="B6" s="113" t="s">
        <v>42</v>
      </c>
      <c r="C6" s="49"/>
      <c r="D6" s="59"/>
      <c r="E6" s="60"/>
      <c r="F6" s="60"/>
      <c r="G6" s="60"/>
      <c r="H6" s="60"/>
      <c r="I6" s="60"/>
      <c r="J6" s="59"/>
      <c r="K6" s="59" t="s">
        <v>370</v>
      </c>
      <c r="L6" s="59" t="s">
        <v>371</v>
      </c>
      <c r="M6" s="59"/>
      <c r="N6" s="59"/>
      <c r="O6" s="49"/>
      <c r="Q6" s="60" t="s">
        <v>26</v>
      </c>
      <c r="R6" s="112"/>
      <c r="S6" s="60"/>
    </row>
    <row r="7" spans="1:19" s="184" customFormat="1" ht="56.25" customHeight="1" x14ac:dyDescent="0.25">
      <c r="A7" s="204"/>
      <c r="B7" s="199" t="s">
        <v>44</v>
      </c>
      <c r="C7" s="204"/>
      <c r="D7" s="205" t="s">
        <v>46</v>
      </c>
      <c r="E7" s="115" t="s">
        <v>372</v>
      </c>
      <c r="F7" s="115" t="s">
        <v>45</v>
      </c>
      <c r="G7" s="115" t="s">
        <v>45</v>
      </c>
      <c r="H7" s="115" t="s">
        <v>45</v>
      </c>
      <c r="I7" s="115" t="s">
        <v>45</v>
      </c>
      <c r="J7" s="205" t="s">
        <v>45</v>
      </c>
      <c r="K7" s="205" t="s">
        <v>373</v>
      </c>
      <c r="L7" s="205" t="s">
        <v>374</v>
      </c>
      <c r="M7" s="205" t="s">
        <v>45</v>
      </c>
      <c r="N7" s="205" t="s">
        <v>45</v>
      </c>
      <c r="O7" s="204"/>
      <c r="P7" s="73"/>
      <c r="Q7" s="115" t="s">
        <v>52</v>
      </c>
      <c r="R7" s="205" t="s">
        <v>53</v>
      </c>
      <c r="S7" s="115" t="s">
        <v>45</v>
      </c>
    </row>
    <row r="8" spans="1:19" s="224" customFormat="1" ht="15" customHeight="1" x14ac:dyDescent="0.2">
      <c r="D8" s="234" t="s">
        <v>779</v>
      </c>
      <c r="E8" s="225"/>
      <c r="F8" s="226" t="s">
        <v>909</v>
      </c>
      <c r="G8" s="226"/>
      <c r="H8" s="226" t="s">
        <v>780</v>
      </c>
      <c r="I8" s="226"/>
      <c r="J8" s="226"/>
      <c r="K8" s="226" t="s">
        <v>435</v>
      </c>
      <c r="L8" s="226" t="s">
        <v>445</v>
      </c>
      <c r="M8" s="226" t="s">
        <v>781</v>
      </c>
      <c r="N8" s="227" t="s">
        <v>782</v>
      </c>
      <c r="Q8" s="228"/>
      <c r="R8" s="228"/>
      <c r="S8" s="228"/>
    </row>
    <row r="9" spans="1:19" s="229" customFormat="1" x14ac:dyDescent="0.25">
      <c r="D9" s="235"/>
      <c r="E9" s="230"/>
      <c r="F9" s="231"/>
      <c r="G9" s="83"/>
      <c r="H9" s="83"/>
      <c r="I9" s="83"/>
      <c r="J9" s="83"/>
      <c r="K9" s="83"/>
      <c r="L9" s="83"/>
      <c r="M9" s="39"/>
      <c r="N9" s="194"/>
      <c r="P9" s="232"/>
      <c r="Q9" s="228"/>
      <c r="R9" s="228"/>
      <c r="S9" s="228"/>
    </row>
    <row r="10" spans="1:19" s="81" customFormat="1" x14ac:dyDescent="0.25">
      <c r="D10" s="235"/>
      <c r="E10" s="233"/>
      <c r="F10" s="47"/>
      <c r="G10" s="83"/>
      <c r="H10" s="83"/>
      <c r="I10" s="83"/>
      <c r="J10" s="83"/>
      <c r="K10" s="83"/>
      <c r="L10" s="83"/>
      <c r="M10" s="39"/>
      <c r="N10" s="194"/>
      <c r="P10" s="232"/>
      <c r="Q10" s="228"/>
      <c r="R10" s="228"/>
      <c r="S10" s="228"/>
    </row>
    <row r="11" spans="1:19" s="81" customFormat="1" x14ac:dyDescent="0.25">
      <c r="D11" s="235"/>
      <c r="E11" s="233"/>
      <c r="F11" s="47"/>
      <c r="G11" s="83"/>
      <c r="H11" s="83"/>
      <c r="I11" s="83"/>
      <c r="J11" s="83"/>
      <c r="K11" s="83"/>
      <c r="L11" s="83"/>
      <c r="M11" s="39"/>
      <c r="N11" s="194"/>
      <c r="P11" s="232"/>
      <c r="Q11" s="228"/>
      <c r="R11" s="228"/>
      <c r="S11" s="228"/>
    </row>
    <row r="12" spans="1:19" s="81" customFormat="1" x14ac:dyDescent="0.25">
      <c r="D12" s="235"/>
      <c r="E12" s="233"/>
      <c r="F12" s="47"/>
      <c r="G12" s="83"/>
      <c r="H12" s="83"/>
      <c r="I12" s="83"/>
      <c r="J12" s="83"/>
      <c r="K12" s="83"/>
      <c r="L12" s="83"/>
      <c r="M12" s="39"/>
      <c r="N12" s="194"/>
      <c r="P12" s="232"/>
      <c r="Q12" s="228"/>
      <c r="R12" s="228"/>
      <c r="S12" s="228"/>
    </row>
    <row r="13" spans="1:19" s="81" customFormat="1" x14ac:dyDescent="0.25">
      <c r="D13" s="235"/>
      <c r="E13" s="233"/>
      <c r="F13" s="47"/>
      <c r="G13" s="83"/>
      <c r="H13" s="83"/>
      <c r="I13" s="83"/>
      <c r="J13" s="83"/>
      <c r="K13" s="83"/>
      <c r="L13" s="83"/>
      <c r="M13" s="39"/>
      <c r="N13" s="194"/>
      <c r="P13" s="232"/>
      <c r="Q13" s="228"/>
      <c r="R13" s="228"/>
      <c r="S13" s="228"/>
    </row>
    <row r="14" spans="1:19" s="81" customFormat="1" x14ac:dyDescent="0.25">
      <c r="D14" s="235"/>
      <c r="E14" s="233"/>
      <c r="F14" s="47"/>
      <c r="G14" s="83"/>
      <c r="H14" s="83"/>
      <c r="I14" s="83"/>
      <c r="J14" s="83"/>
      <c r="K14" s="83"/>
      <c r="L14" s="83"/>
      <c r="M14" s="39"/>
      <c r="N14" s="194"/>
      <c r="P14" s="232"/>
      <c r="Q14" s="228"/>
      <c r="R14" s="228"/>
      <c r="S14" s="228"/>
    </row>
    <row r="15" spans="1:19" s="81" customFormat="1" x14ac:dyDescent="0.25">
      <c r="D15" s="235"/>
      <c r="E15" s="233"/>
      <c r="F15" s="47"/>
      <c r="G15" s="83"/>
      <c r="H15" s="83"/>
      <c r="I15" s="83"/>
      <c r="J15" s="83"/>
      <c r="K15" s="83"/>
      <c r="L15" s="83"/>
      <c r="M15" s="39"/>
      <c r="N15" s="194"/>
      <c r="P15" s="232"/>
      <c r="Q15" s="228"/>
      <c r="R15" s="228"/>
      <c r="S15" s="228"/>
    </row>
    <row r="16" spans="1:19" s="224" customFormat="1" ht="15" customHeight="1" x14ac:dyDescent="0.2">
      <c r="D16" s="235"/>
      <c r="E16" s="225"/>
      <c r="F16" s="226"/>
      <c r="G16" s="226"/>
      <c r="H16" s="226"/>
      <c r="I16" s="226"/>
      <c r="J16" s="226"/>
      <c r="K16" s="226"/>
      <c r="L16" s="226"/>
      <c r="M16" s="226"/>
      <c r="N16" s="227"/>
      <c r="Q16" s="228"/>
      <c r="R16" s="228"/>
      <c r="S16" s="228"/>
    </row>
    <row r="17" spans="4:19" s="229" customFormat="1" x14ac:dyDescent="0.25">
      <c r="D17" s="235"/>
      <c r="E17" s="230"/>
      <c r="F17" s="231"/>
      <c r="G17" s="83"/>
      <c r="H17" s="83"/>
      <c r="I17" s="83"/>
      <c r="J17" s="83"/>
      <c r="K17" s="83"/>
      <c r="L17" s="83"/>
      <c r="M17" s="39"/>
      <c r="N17" s="194"/>
      <c r="P17" s="232"/>
      <c r="Q17" s="228"/>
      <c r="R17" s="228"/>
      <c r="S17" s="228"/>
    </row>
    <row r="18" spans="4:19" s="81" customFormat="1" x14ac:dyDescent="0.25">
      <c r="D18" s="235"/>
      <c r="E18" s="233"/>
      <c r="F18" s="47"/>
      <c r="G18" s="83"/>
      <c r="H18" s="83"/>
      <c r="I18" s="83"/>
      <c r="J18" s="83"/>
      <c r="K18" s="83"/>
      <c r="L18" s="83"/>
      <c r="M18" s="39"/>
      <c r="N18" s="194"/>
      <c r="P18" s="232"/>
      <c r="Q18" s="228"/>
      <c r="R18" s="228"/>
      <c r="S18" s="228"/>
    </row>
    <row r="19" spans="4:19" s="81" customFormat="1" x14ac:dyDescent="0.25">
      <c r="D19" s="235"/>
      <c r="E19" s="233"/>
      <c r="F19" s="47"/>
      <c r="G19" s="83"/>
      <c r="H19" s="83"/>
      <c r="I19" s="83"/>
      <c r="J19" s="83"/>
      <c r="K19" s="83"/>
      <c r="L19" s="83"/>
      <c r="M19" s="39"/>
      <c r="N19" s="194"/>
      <c r="P19" s="232"/>
      <c r="Q19" s="228"/>
      <c r="R19" s="228"/>
      <c r="S19" s="228"/>
    </row>
    <row r="20" spans="4:19" ht="15" customHeight="1" x14ac:dyDescent="0.25">
      <c r="H20" s="190"/>
      <c r="I20" s="190"/>
      <c r="J20" s="190"/>
      <c r="P20" s="103"/>
      <c r="Q20" s="53"/>
      <c r="R20" s="53"/>
      <c r="S20" s="53"/>
    </row>
    <row r="21" spans="4:19" ht="15" customHeight="1" x14ac:dyDescent="0.25">
      <c r="H21" s="190"/>
      <c r="I21" s="190"/>
      <c r="J21" s="190"/>
      <c r="P21" s="103"/>
      <c r="Q21" s="53"/>
      <c r="R21" s="53"/>
      <c r="S21" s="53"/>
    </row>
    <row r="22" spans="4:19" ht="15" customHeight="1" x14ac:dyDescent="0.25">
      <c r="H22" s="190"/>
      <c r="I22" s="190"/>
      <c r="J22" s="190"/>
      <c r="P22" s="103"/>
      <c r="Q22" s="53"/>
      <c r="R22" s="53"/>
      <c r="S22" s="53"/>
    </row>
    <row r="23" spans="4:19" ht="15" customHeight="1" x14ac:dyDescent="0.25">
      <c r="H23" s="190"/>
      <c r="I23" s="190"/>
      <c r="J23" s="190"/>
      <c r="P23" s="103"/>
      <c r="Q23" s="53"/>
      <c r="R23" s="53"/>
      <c r="S23" s="53"/>
    </row>
    <row r="24" spans="4:19" ht="15" customHeight="1" x14ac:dyDescent="0.25">
      <c r="H24" s="190"/>
      <c r="I24" s="190"/>
      <c r="J24" s="190"/>
      <c r="P24" s="103"/>
      <c r="Q24" s="53"/>
      <c r="R24" s="53"/>
      <c r="S24" s="53"/>
    </row>
    <row r="25" spans="4:19" ht="15" customHeight="1" x14ac:dyDescent="0.25">
      <c r="H25" s="190"/>
      <c r="I25" s="190"/>
      <c r="J25" s="190"/>
      <c r="P25" s="103"/>
      <c r="Q25" s="53"/>
      <c r="R25" s="53"/>
      <c r="S25" s="53"/>
    </row>
    <row r="26" spans="4:19" ht="15" customHeight="1" x14ac:dyDescent="0.25">
      <c r="H26" s="190"/>
      <c r="I26" s="190"/>
      <c r="J26" s="190"/>
      <c r="P26" s="103"/>
      <c r="Q26" s="53"/>
      <c r="R26" s="53"/>
      <c r="S26" s="53"/>
    </row>
    <row r="27" spans="4:19" ht="15" customHeight="1" x14ac:dyDescent="0.25">
      <c r="H27" s="190"/>
      <c r="I27" s="190"/>
      <c r="J27" s="190"/>
      <c r="P27" s="103"/>
      <c r="Q27" s="53"/>
      <c r="R27" s="53"/>
      <c r="S27" s="53"/>
    </row>
    <row r="28" spans="4:19" ht="15" customHeight="1" x14ac:dyDescent="0.25">
      <c r="H28" s="190"/>
      <c r="I28" s="190"/>
      <c r="J28" s="190"/>
      <c r="P28" s="103"/>
      <c r="Q28" s="53"/>
      <c r="R28" s="53"/>
      <c r="S28" s="53"/>
    </row>
    <row r="29" spans="4:19" ht="15" customHeight="1" x14ac:dyDescent="0.25">
      <c r="H29" s="190"/>
      <c r="I29" s="190"/>
      <c r="J29" s="190"/>
      <c r="P29" s="103"/>
      <c r="Q29" s="53"/>
      <c r="R29" s="53"/>
      <c r="S29" s="53"/>
    </row>
    <row r="30" spans="4:19" ht="15" customHeight="1" x14ac:dyDescent="0.25">
      <c r="H30" s="190"/>
      <c r="I30" s="190"/>
      <c r="J30" s="190"/>
      <c r="P30" s="103"/>
      <c r="Q30" s="53"/>
      <c r="R30" s="53"/>
      <c r="S30" s="53"/>
    </row>
    <row r="31" spans="4:19" ht="15" customHeight="1" x14ac:dyDescent="0.25">
      <c r="H31" s="190"/>
      <c r="I31" s="190"/>
      <c r="J31" s="190"/>
      <c r="P31" s="103"/>
      <c r="Q31" s="53"/>
      <c r="R31" s="53"/>
      <c r="S31" s="53"/>
    </row>
    <row r="32" spans="4:19" ht="15" customHeight="1" x14ac:dyDescent="0.25">
      <c r="H32" s="190"/>
      <c r="I32" s="190"/>
      <c r="J32" s="190"/>
      <c r="P32" s="103"/>
      <c r="Q32" s="53"/>
      <c r="R32" s="53"/>
      <c r="S32" s="53"/>
    </row>
    <row r="33" spans="8:19" ht="15" customHeight="1" x14ac:dyDescent="0.25">
      <c r="H33" s="190"/>
      <c r="I33" s="190"/>
      <c r="J33" s="190"/>
      <c r="P33" s="103"/>
      <c r="Q33" s="53"/>
      <c r="R33" s="53"/>
      <c r="S33" s="53"/>
    </row>
    <row r="34" spans="8:19" ht="15" customHeight="1" x14ac:dyDescent="0.25">
      <c r="H34" s="190"/>
      <c r="I34" s="190"/>
      <c r="J34" s="190"/>
      <c r="P34" s="103"/>
      <c r="Q34" s="53"/>
      <c r="R34" s="53"/>
      <c r="S34" s="53"/>
    </row>
    <row r="35" spans="8:19" ht="15" customHeight="1" x14ac:dyDescent="0.25">
      <c r="H35" s="190"/>
      <c r="I35" s="190"/>
      <c r="J35" s="190"/>
      <c r="P35" s="103"/>
      <c r="Q35" s="53"/>
      <c r="R35" s="53"/>
      <c r="S35" s="53"/>
    </row>
    <row r="36" spans="8:19" ht="15" customHeight="1" x14ac:dyDescent="0.25">
      <c r="H36" s="190"/>
      <c r="I36" s="190"/>
      <c r="J36" s="190"/>
      <c r="P36" s="103"/>
      <c r="Q36" s="53"/>
      <c r="R36" s="53"/>
      <c r="S36" s="53"/>
    </row>
    <row r="37" spans="8:19" ht="15" customHeight="1" x14ac:dyDescent="0.25">
      <c r="H37" s="190"/>
      <c r="I37" s="190"/>
      <c r="J37" s="190"/>
      <c r="P37" s="103"/>
      <c r="Q37" s="53"/>
      <c r="R37" s="53"/>
      <c r="S37" s="53"/>
    </row>
    <row r="38" spans="8:19" ht="15" customHeight="1" x14ac:dyDescent="0.25">
      <c r="H38" s="190"/>
      <c r="I38" s="190"/>
      <c r="J38" s="190"/>
      <c r="P38" s="103"/>
      <c r="Q38" s="53"/>
      <c r="R38" s="53"/>
      <c r="S38" s="53"/>
    </row>
    <row r="39" spans="8:19" ht="15" customHeight="1" x14ac:dyDescent="0.25">
      <c r="H39" s="190"/>
      <c r="I39" s="190"/>
      <c r="J39" s="190"/>
      <c r="P39" s="103"/>
      <c r="Q39" s="53"/>
      <c r="R39" s="53"/>
      <c r="S39" s="53"/>
    </row>
    <row r="40" spans="8:19" ht="15" customHeight="1" x14ac:dyDescent="0.25">
      <c r="H40" s="190"/>
      <c r="I40" s="190"/>
      <c r="J40" s="190"/>
      <c r="P40" s="103"/>
      <c r="Q40" s="53"/>
      <c r="R40" s="53"/>
      <c r="S40" s="53"/>
    </row>
    <row r="41" spans="8:19" ht="15" customHeight="1" x14ac:dyDescent="0.25">
      <c r="H41" s="190"/>
      <c r="I41" s="190"/>
      <c r="J41" s="190"/>
      <c r="P41" s="103"/>
      <c r="Q41" s="53"/>
      <c r="R41" s="53"/>
      <c r="S41" s="53"/>
    </row>
    <row r="42" spans="8:19" ht="15" customHeight="1" x14ac:dyDescent="0.25">
      <c r="H42" s="190"/>
      <c r="I42" s="190"/>
      <c r="J42" s="190"/>
      <c r="P42" s="103"/>
      <c r="Q42" s="53"/>
      <c r="R42" s="53"/>
      <c r="S42" s="53"/>
    </row>
  </sheetData>
  <dataValidations count="4">
    <dataValidation type="date" allowBlank="1" showInputMessage="1" showErrorMessage="1" promptTitle="Versionsdatum" prompt="Datum im Format YYYY-MM-DD eintragen." sqref="R9:R15 R17:R1982" xr:uid="{00000000-0002-0000-0700-000000000000}">
      <formula1>DATE(2000,1,1)</formula1>
      <formula2>DATE(2100,12,31)</formula2>
    </dataValidation>
    <dataValidation type="list" allowBlank="1" sqref="Q2:Q1986" xr:uid="{00000000-0002-0000-0700-000001000000}">
      <formula1>Status</formula1>
    </dataValidation>
    <dataValidation type="list" allowBlank="1" sqref="K2:K1986" xr:uid="{00000000-0002-0000-0700-000002000000}">
      <formula1>ISG___Informationssicherheitsgesetz</formula1>
    </dataValidation>
    <dataValidation type="list" allowBlank="1" sqref="L2:L1986" xr:uid="{00000000-0002-0000-0700-000003000000}">
      <formula1>FAIR_Prinzipien</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zoomScaleNormal="100" workbookViewId="0">
      <pane ySplit="2" topLeftCell="A3" activePane="bottomLeft" state="frozen"/>
      <selection pane="bottomLeft" activeCell="G8" sqref="G8"/>
    </sheetView>
  </sheetViews>
  <sheetFormatPr baseColWidth="10" defaultColWidth="11.42578125" defaultRowHeight="28.9" customHeight="1" outlineLevelCol="1" x14ac:dyDescent="0.2"/>
  <cols>
    <col min="1" max="1" width="3.7109375" style="107" customWidth="1"/>
    <col min="2" max="2" width="25.7109375" style="63" customWidth="1" outlineLevel="1"/>
    <col min="3" max="3" width="3.7109375" style="104" customWidth="1"/>
    <col min="4" max="7" width="30.7109375" style="64" customWidth="1" outlineLevel="1"/>
    <col min="8" max="8" width="23.7109375" style="64" customWidth="1" outlineLevel="1"/>
    <col min="9" max="10" width="11.140625" style="64" customWidth="1" outlineLevel="1"/>
    <col min="11" max="11" width="3.7109375" style="104" customWidth="1"/>
    <col min="12" max="12" width="13.42578125" style="63" bestFit="1" customWidth="1" outlineLevel="1"/>
    <col min="13" max="13" width="25.7109375" style="63" customWidth="1" outlineLevel="1"/>
    <col min="14" max="14" width="11.28515625" style="63" bestFit="1" customWidth="1" outlineLevel="1"/>
    <col min="15" max="19" width="11.42578125" style="64" customWidth="1"/>
    <col min="20" max="16384" width="11.42578125" style="64"/>
  </cols>
  <sheetData>
    <row r="1" spans="1:14" s="197" customFormat="1" ht="120" customHeight="1" x14ac:dyDescent="0.25">
      <c r="A1" s="95" t="s">
        <v>0</v>
      </c>
      <c r="B1" s="195" t="s">
        <v>1</v>
      </c>
      <c r="C1" s="195" t="s">
        <v>375</v>
      </c>
      <c r="D1" s="195" t="s">
        <v>376</v>
      </c>
      <c r="E1" s="195" t="s">
        <v>377</v>
      </c>
      <c r="F1" s="195" t="s">
        <v>12</v>
      </c>
      <c r="G1" s="195" t="s">
        <v>16</v>
      </c>
      <c r="H1" s="195" t="s">
        <v>11</v>
      </c>
      <c r="I1" s="195" t="s">
        <v>13</v>
      </c>
      <c r="J1" s="195" t="s">
        <v>14</v>
      </c>
      <c r="K1" s="195" t="s">
        <v>378</v>
      </c>
      <c r="L1" s="195" t="s">
        <v>26</v>
      </c>
      <c r="M1" s="195" t="s">
        <v>27</v>
      </c>
      <c r="N1" s="195" t="s">
        <v>28</v>
      </c>
    </row>
    <row r="2" spans="1:14" s="92" customFormat="1" ht="12.75" customHeight="1" x14ac:dyDescent="0.25">
      <c r="A2" s="103"/>
      <c r="B2" s="113" t="s">
        <v>31</v>
      </c>
      <c r="C2" s="102"/>
      <c r="D2" s="60"/>
      <c r="E2" s="60"/>
      <c r="F2" s="60"/>
      <c r="G2" s="60"/>
      <c r="H2" s="186"/>
      <c r="I2" s="186"/>
      <c r="J2" s="186"/>
      <c r="K2" s="102"/>
      <c r="L2" s="110"/>
      <c r="M2" s="60"/>
      <c r="N2" s="59"/>
    </row>
    <row r="3" spans="1:14" s="30" customFormat="1" ht="14.25" customHeight="1" x14ac:dyDescent="0.25">
      <c r="A3" s="103"/>
      <c r="B3" s="113" t="s">
        <v>32</v>
      </c>
      <c r="C3" s="102"/>
      <c r="D3" s="60"/>
      <c r="E3" s="60"/>
      <c r="F3" s="60"/>
      <c r="G3" s="60"/>
      <c r="H3" s="186"/>
      <c r="I3" s="186"/>
      <c r="J3" s="186"/>
      <c r="K3" s="102"/>
      <c r="L3" s="110"/>
      <c r="M3" s="60"/>
      <c r="N3" s="59"/>
    </row>
    <row r="4" spans="1:14" s="30" customFormat="1" ht="14.25" customHeight="1" x14ac:dyDescent="0.25">
      <c r="A4" s="103"/>
      <c r="B4" s="113" t="s">
        <v>33</v>
      </c>
      <c r="C4" s="102"/>
      <c r="D4" s="59" t="s">
        <v>34</v>
      </c>
      <c r="E4" s="59" t="s">
        <v>34</v>
      </c>
      <c r="F4" s="59" t="s">
        <v>36</v>
      </c>
      <c r="G4" s="59" t="s">
        <v>36</v>
      </c>
      <c r="H4" s="187" t="s">
        <v>35</v>
      </c>
      <c r="I4" s="187" t="s">
        <v>37</v>
      </c>
      <c r="J4" s="187" t="s">
        <v>38</v>
      </c>
      <c r="K4" s="102"/>
      <c r="L4" s="111" t="s">
        <v>34</v>
      </c>
      <c r="M4" s="59" t="s">
        <v>34</v>
      </c>
      <c r="N4" s="59" t="s">
        <v>34</v>
      </c>
    </row>
    <row r="5" spans="1:14" s="30" customFormat="1" ht="14.25" customHeight="1" x14ac:dyDescent="0.25">
      <c r="A5" s="103"/>
      <c r="B5" s="113" t="s">
        <v>39</v>
      </c>
      <c r="C5" s="102"/>
      <c r="D5" s="59" t="s">
        <v>41</v>
      </c>
      <c r="E5" s="59"/>
      <c r="F5" s="59"/>
      <c r="G5" s="59"/>
      <c r="H5" s="187"/>
      <c r="I5" s="187"/>
      <c r="J5" s="187"/>
      <c r="K5" s="102"/>
      <c r="L5" s="111" t="s">
        <v>40</v>
      </c>
      <c r="M5" s="59" t="s">
        <v>40</v>
      </c>
      <c r="N5" s="59" t="s">
        <v>40</v>
      </c>
    </row>
    <row r="6" spans="1:14" s="30" customFormat="1" ht="14.25" customHeight="1" x14ac:dyDescent="0.25">
      <c r="A6" s="103"/>
      <c r="B6" s="113" t="s">
        <v>42</v>
      </c>
      <c r="C6" s="102"/>
      <c r="D6" s="60"/>
      <c r="E6" s="60"/>
      <c r="F6" s="60"/>
      <c r="G6" s="60"/>
      <c r="H6" s="186"/>
      <c r="I6" s="186"/>
      <c r="J6" s="186"/>
      <c r="K6" s="102"/>
      <c r="L6" s="110" t="s">
        <v>26</v>
      </c>
      <c r="M6" s="60"/>
      <c r="N6" s="112"/>
    </row>
    <row r="7" spans="1:14" s="184" customFormat="1" ht="33.75" customHeight="1" x14ac:dyDescent="0.25">
      <c r="A7" s="198"/>
      <c r="B7" s="199" t="s">
        <v>44</v>
      </c>
      <c r="C7" s="200"/>
      <c r="D7" s="115" t="s">
        <v>47</v>
      </c>
      <c r="E7" s="115" t="s">
        <v>45</v>
      </c>
      <c r="F7" s="115" t="s">
        <v>45</v>
      </c>
      <c r="G7" s="115" t="s">
        <v>45</v>
      </c>
      <c r="H7" s="201" t="s">
        <v>45</v>
      </c>
      <c r="I7" s="201" t="s">
        <v>45</v>
      </c>
      <c r="J7" s="201" t="s">
        <v>45</v>
      </c>
      <c r="K7" s="200"/>
      <c r="L7" s="202" t="s">
        <v>52</v>
      </c>
      <c r="M7" s="115" t="s">
        <v>53</v>
      </c>
      <c r="N7" s="203" t="s">
        <v>45</v>
      </c>
    </row>
    <row r="8" spans="1:14" s="61" customFormat="1" ht="12.75" customHeight="1" x14ac:dyDescent="0.25">
      <c r="A8" s="103"/>
      <c r="C8" s="103"/>
      <c r="D8" s="109" t="s">
        <v>783</v>
      </c>
      <c r="E8" s="109"/>
      <c r="F8" s="109"/>
      <c r="G8" s="109"/>
      <c r="H8" s="109"/>
      <c r="I8" s="109"/>
      <c r="J8" s="109"/>
      <c r="K8" s="109"/>
      <c r="L8" s="53"/>
      <c r="M8" s="53"/>
      <c r="N8" s="52"/>
    </row>
    <row r="9" spans="1:14" s="61" customFormat="1" ht="12.75" customHeight="1" x14ac:dyDescent="0.25">
      <c r="A9" s="103"/>
      <c r="C9" s="103"/>
      <c r="D9" s="109"/>
      <c r="E9" s="109"/>
      <c r="F9" s="109"/>
      <c r="G9" s="109"/>
      <c r="H9" s="109"/>
      <c r="I9" s="109"/>
      <c r="J9" s="109"/>
      <c r="K9" s="109"/>
      <c r="L9" s="53"/>
      <c r="M9" s="53"/>
      <c r="N9" s="52"/>
    </row>
    <row r="10" spans="1:14" s="61" customFormat="1" ht="12.75" customHeight="1" x14ac:dyDescent="0.25">
      <c r="A10" s="103"/>
      <c r="C10" s="103"/>
      <c r="D10" s="109"/>
      <c r="E10" s="109"/>
      <c r="F10" s="109"/>
      <c r="G10" s="109"/>
      <c r="H10" s="109"/>
      <c r="I10" s="109"/>
      <c r="J10" s="109"/>
      <c r="K10" s="109"/>
      <c r="L10" s="53"/>
      <c r="M10" s="53"/>
      <c r="N10" s="52"/>
    </row>
    <row r="11" spans="1:14" s="61" customFormat="1" ht="12.75" customHeight="1" x14ac:dyDescent="0.25">
      <c r="A11" s="103"/>
      <c r="C11" s="103"/>
      <c r="D11" s="109"/>
      <c r="E11" s="109"/>
      <c r="F11" s="109"/>
      <c r="G11" s="109"/>
      <c r="H11" s="109"/>
      <c r="I11" s="109"/>
      <c r="J11" s="109"/>
      <c r="K11" s="109"/>
      <c r="L11" s="53"/>
      <c r="M11" s="53"/>
      <c r="N11" s="52"/>
    </row>
    <row r="12" spans="1:14" s="61" customFormat="1" ht="12.75" customHeight="1" x14ac:dyDescent="0.25">
      <c r="A12" s="103"/>
      <c r="C12" s="103"/>
      <c r="D12" s="52"/>
      <c r="E12" s="52"/>
      <c r="F12" s="52"/>
      <c r="G12" s="52"/>
      <c r="H12" s="52"/>
      <c r="I12" s="52"/>
      <c r="J12" s="52"/>
      <c r="K12" s="52"/>
      <c r="L12" s="53"/>
      <c r="M12" s="53"/>
      <c r="N12" s="52"/>
    </row>
    <row r="13" spans="1:14" s="61" customFormat="1" ht="12.75" customHeight="1" x14ac:dyDescent="0.25">
      <c r="A13" s="103"/>
      <c r="C13" s="103"/>
      <c r="D13" s="52"/>
      <c r="E13" s="52"/>
      <c r="F13" s="52"/>
      <c r="G13" s="52"/>
      <c r="H13" s="52"/>
      <c r="I13" s="52"/>
      <c r="J13" s="52"/>
      <c r="K13" s="52"/>
      <c r="L13" s="53"/>
      <c r="M13" s="53"/>
      <c r="N13" s="52"/>
    </row>
    <row r="14" spans="1:14" s="61" customFormat="1" ht="12.75" customHeight="1" x14ac:dyDescent="0.25">
      <c r="A14" s="103"/>
      <c r="C14" s="103"/>
      <c r="D14" s="52"/>
      <c r="E14" s="52"/>
      <c r="F14" s="52"/>
      <c r="G14" s="52"/>
      <c r="H14" s="52"/>
      <c r="I14" s="52"/>
      <c r="J14" s="52"/>
      <c r="K14" s="52"/>
      <c r="L14" s="53"/>
      <c r="M14" s="53"/>
      <c r="N14" s="52"/>
    </row>
    <row r="15" spans="1:14" s="61" customFormat="1" ht="12.75" customHeight="1" x14ac:dyDescent="0.25">
      <c r="A15" s="103"/>
      <c r="C15" s="103"/>
      <c r="D15" s="52"/>
      <c r="E15" s="52"/>
      <c r="F15" s="52"/>
      <c r="G15" s="52"/>
      <c r="H15" s="52"/>
      <c r="I15" s="52"/>
      <c r="J15" s="52"/>
      <c r="K15" s="52"/>
      <c r="L15" s="53"/>
      <c r="M15" s="53"/>
      <c r="N15" s="52"/>
    </row>
    <row r="16" spans="1:14" s="61" customFormat="1" ht="12.75" customHeight="1" x14ac:dyDescent="0.25">
      <c r="A16" s="103"/>
      <c r="C16" s="103"/>
      <c r="D16" s="52"/>
      <c r="E16" s="52"/>
      <c r="F16" s="52"/>
      <c r="G16" s="52"/>
      <c r="H16" s="52"/>
      <c r="I16" s="52"/>
      <c r="J16" s="52"/>
      <c r="K16" s="52"/>
      <c r="L16" s="53"/>
      <c r="M16" s="53"/>
      <c r="N16" s="52"/>
    </row>
    <row r="17" spans="1:14" s="61" customFormat="1" ht="12.75" customHeight="1" x14ac:dyDescent="0.25">
      <c r="A17" s="103"/>
      <c r="C17" s="103"/>
      <c r="D17" s="52"/>
      <c r="E17" s="52"/>
      <c r="F17" s="52"/>
      <c r="G17" s="52"/>
      <c r="H17" s="52"/>
      <c r="I17" s="52"/>
      <c r="J17" s="52"/>
      <c r="K17" s="52"/>
      <c r="L17" s="53"/>
      <c r="M17" s="53"/>
      <c r="N17" s="52"/>
    </row>
    <row r="18" spans="1:14" s="61" customFormat="1" ht="12.75" customHeight="1" x14ac:dyDescent="0.25">
      <c r="A18" s="103"/>
      <c r="C18" s="103"/>
      <c r="D18" s="52"/>
      <c r="E18" s="52"/>
      <c r="F18" s="52"/>
      <c r="G18" s="52"/>
      <c r="H18" s="52"/>
      <c r="I18" s="52"/>
      <c r="J18" s="52"/>
      <c r="K18" s="52"/>
      <c r="L18" s="53"/>
      <c r="M18" s="53"/>
      <c r="N18" s="52"/>
    </row>
    <row r="19" spans="1:14" s="61" customFormat="1" ht="12.75" customHeight="1" x14ac:dyDescent="0.25">
      <c r="A19" s="103"/>
      <c r="C19" s="103"/>
      <c r="D19" s="52"/>
      <c r="E19" s="52"/>
      <c r="F19" s="52"/>
      <c r="G19" s="52"/>
      <c r="H19" s="52"/>
      <c r="I19" s="52"/>
      <c r="J19" s="52"/>
      <c r="K19" s="52"/>
      <c r="L19" s="53"/>
      <c r="M19" s="53"/>
      <c r="N19" s="52"/>
    </row>
    <row r="20" spans="1:14" s="61" customFormat="1" ht="12.75" customHeight="1" x14ac:dyDescent="0.25">
      <c r="A20" s="103"/>
      <c r="C20" s="103"/>
      <c r="D20" s="52"/>
      <c r="E20" s="52"/>
      <c r="F20" s="52"/>
      <c r="G20" s="52"/>
      <c r="H20" s="52"/>
      <c r="I20" s="52"/>
      <c r="J20" s="52"/>
      <c r="K20" s="52"/>
      <c r="L20" s="53"/>
      <c r="M20" s="53"/>
      <c r="N20" s="52"/>
    </row>
    <row r="21" spans="1:14" s="61" customFormat="1" ht="12.75" customHeight="1" x14ac:dyDescent="0.25">
      <c r="A21" s="103"/>
      <c r="C21" s="103"/>
      <c r="D21" s="52"/>
      <c r="E21" s="52"/>
      <c r="F21" s="52"/>
      <c r="G21" s="52"/>
      <c r="H21" s="52"/>
      <c r="I21" s="52"/>
      <c r="J21" s="52"/>
      <c r="K21" s="52"/>
      <c r="L21" s="53"/>
      <c r="M21" s="53"/>
      <c r="N21" s="52"/>
    </row>
    <row r="22" spans="1:14" s="61" customFormat="1" ht="12.75" customHeight="1" x14ac:dyDescent="0.25">
      <c r="A22" s="103"/>
      <c r="C22" s="103"/>
      <c r="D22" s="52"/>
      <c r="E22" s="52"/>
      <c r="F22" s="52"/>
      <c r="G22" s="52"/>
      <c r="H22" s="52"/>
      <c r="I22" s="52"/>
      <c r="J22" s="52"/>
      <c r="K22" s="52"/>
      <c r="L22" s="53"/>
      <c r="M22" s="53"/>
      <c r="N22" s="52"/>
    </row>
    <row r="23" spans="1:14" s="61" customFormat="1" ht="12.75" customHeight="1" x14ac:dyDescent="0.25">
      <c r="A23" s="103"/>
      <c r="C23" s="103"/>
      <c r="D23" s="52"/>
      <c r="E23" s="52"/>
      <c r="F23" s="52"/>
      <c r="G23" s="52"/>
      <c r="H23" s="52"/>
      <c r="I23" s="52"/>
      <c r="J23" s="52"/>
      <c r="K23" s="52"/>
      <c r="L23" s="53"/>
      <c r="M23" s="53"/>
      <c r="N23" s="52"/>
    </row>
    <row r="24" spans="1:14" s="61" customFormat="1" ht="12.75" customHeight="1" x14ac:dyDescent="0.25">
      <c r="A24" s="103"/>
      <c r="C24" s="103"/>
      <c r="D24" s="52"/>
      <c r="E24" s="52"/>
      <c r="F24" s="52"/>
      <c r="G24" s="52"/>
      <c r="H24" s="52"/>
      <c r="I24" s="52"/>
      <c r="J24" s="52"/>
      <c r="K24" s="52"/>
      <c r="L24" s="53"/>
      <c r="M24" s="53"/>
      <c r="N24" s="52"/>
    </row>
    <row r="25" spans="1:14" s="61" customFormat="1" ht="12.75" customHeight="1" x14ac:dyDescent="0.25">
      <c r="A25" s="103"/>
      <c r="C25" s="103"/>
      <c r="D25" s="52"/>
      <c r="E25" s="52"/>
      <c r="F25" s="52"/>
      <c r="G25" s="52"/>
      <c r="H25" s="52"/>
      <c r="I25" s="52"/>
      <c r="J25" s="52"/>
      <c r="K25" s="52"/>
      <c r="L25" s="53"/>
      <c r="M25" s="53"/>
      <c r="N25" s="52"/>
    </row>
    <row r="26" spans="1:14" s="61" customFormat="1" ht="12.75" customHeight="1" x14ac:dyDescent="0.25">
      <c r="A26" s="103"/>
      <c r="C26" s="103"/>
      <c r="D26" s="52"/>
      <c r="E26" s="52"/>
      <c r="F26" s="52"/>
      <c r="G26" s="52"/>
      <c r="H26" s="52"/>
      <c r="I26" s="52"/>
      <c r="J26" s="52"/>
      <c r="K26" s="52"/>
      <c r="L26" s="53"/>
      <c r="M26" s="53"/>
      <c r="N26" s="52"/>
    </row>
    <row r="27" spans="1:14" s="61" customFormat="1" ht="12.75" customHeight="1" x14ac:dyDescent="0.25">
      <c r="A27" s="103"/>
      <c r="C27" s="103"/>
      <c r="D27" s="52"/>
      <c r="E27" s="52"/>
      <c r="F27" s="52"/>
      <c r="G27" s="52"/>
      <c r="H27" s="52"/>
      <c r="I27" s="52"/>
      <c r="J27" s="52"/>
      <c r="K27" s="52"/>
      <c r="L27" s="53"/>
      <c r="M27" s="53"/>
      <c r="N27" s="52"/>
    </row>
    <row r="28" spans="1:14" s="61" customFormat="1" ht="12.75" customHeight="1" x14ac:dyDescent="0.25">
      <c r="A28" s="103"/>
      <c r="C28" s="103"/>
      <c r="D28" s="52"/>
      <c r="E28" s="52"/>
      <c r="F28" s="52"/>
      <c r="G28" s="52"/>
      <c r="H28" s="52"/>
      <c r="I28" s="52"/>
      <c r="J28" s="52"/>
      <c r="K28" s="52"/>
      <c r="L28" s="53"/>
      <c r="M28" s="53"/>
      <c r="N28" s="52"/>
    </row>
    <row r="29" spans="1:14" s="61" customFormat="1" ht="12.75" customHeight="1" x14ac:dyDescent="0.25">
      <c r="A29" s="103"/>
      <c r="C29" s="103"/>
      <c r="D29" s="52"/>
      <c r="E29" s="52"/>
      <c r="F29" s="52"/>
      <c r="G29" s="52"/>
      <c r="H29" s="52"/>
      <c r="I29" s="52"/>
      <c r="J29" s="52"/>
      <c r="K29" s="52"/>
      <c r="L29" s="53"/>
      <c r="M29" s="53"/>
      <c r="N29" s="52"/>
    </row>
    <row r="30" spans="1:14" s="61" customFormat="1" ht="12.75" customHeight="1" x14ac:dyDescent="0.25">
      <c r="A30" s="103"/>
      <c r="C30" s="103"/>
      <c r="D30" s="52"/>
      <c r="E30" s="52"/>
      <c r="F30" s="52"/>
      <c r="G30" s="52"/>
      <c r="H30" s="52"/>
      <c r="I30" s="52"/>
      <c r="J30" s="52"/>
      <c r="K30" s="52"/>
      <c r="L30" s="53"/>
      <c r="M30" s="53"/>
      <c r="N30" s="52"/>
    </row>
    <row r="31" spans="1:14" s="61" customFormat="1" ht="12.75" customHeight="1" x14ac:dyDescent="0.25">
      <c r="A31" s="103"/>
      <c r="C31" s="103"/>
      <c r="D31" s="52"/>
      <c r="E31" s="52"/>
      <c r="F31" s="52"/>
      <c r="G31" s="52"/>
      <c r="H31" s="52"/>
      <c r="I31" s="52"/>
      <c r="J31" s="52"/>
      <c r="K31" s="52"/>
      <c r="L31" s="53"/>
      <c r="M31" s="53"/>
      <c r="N31" s="52"/>
    </row>
    <row r="32" spans="1:14" s="61" customFormat="1" ht="12.75" customHeight="1" x14ac:dyDescent="0.25">
      <c r="A32" s="103"/>
      <c r="C32" s="103"/>
      <c r="D32" s="52"/>
      <c r="E32" s="52"/>
      <c r="F32" s="52"/>
      <c r="G32" s="52"/>
      <c r="H32" s="52"/>
      <c r="I32" s="52"/>
      <c r="J32" s="52"/>
      <c r="K32" s="52"/>
      <c r="L32" s="53"/>
      <c r="M32" s="53"/>
      <c r="N32" s="52"/>
    </row>
    <row r="33" spans="1:14" s="61" customFormat="1" ht="12.75" customHeight="1" x14ac:dyDescent="0.25">
      <c r="A33" s="103"/>
      <c r="C33" s="103"/>
      <c r="D33" s="52"/>
      <c r="E33" s="52"/>
      <c r="F33" s="52"/>
      <c r="G33" s="52"/>
      <c r="H33" s="52"/>
      <c r="I33" s="52"/>
      <c r="J33" s="52"/>
      <c r="K33" s="52"/>
      <c r="L33" s="53"/>
      <c r="M33" s="53"/>
      <c r="N33" s="52"/>
    </row>
    <row r="34" spans="1:14" s="61" customFormat="1" ht="12.75" customHeight="1" x14ac:dyDescent="0.25">
      <c r="A34" s="103"/>
      <c r="C34" s="103"/>
      <c r="D34" s="52"/>
      <c r="E34" s="52"/>
      <c r="F34" s="52"/>
      <c r="G34" s="52"/>
      <c r="H34" s="52"/>
      <c r="I34" s="52"/>
      <c r="J34" s="52"/>
      <c r="K34" s="52"/>
      <c r="L34" s="53"/>
      <c r="M34" s="53"/>
      <c r="N34" s="52"/>
    </row>
    <row r="35" spans="1:14" s="61" customFormat="1" ht="12.75" customHeight="1" x14ac:dyDescent="0.25">
      <c r="A35" s="103"/>
      <c r="C35" s="103"/>
      <c r="D35" s="52"/>
      <c r="E35" s="52"/>
      <c r="F35" s="52"/>
      <c r="G35" s="52"/>
      <c r="H35" s="52"/>
      <c r="I35" s="52"/>
      <c r="J35" s="52"/>
      <c r="K35" s="52"/>
      <c r="L35" s="53"/>
      <c r="M35" s="53"/>
      <c r="N35" s="52"/>
    </row>
    <row r="36" spans="1:14" s="61" customFormat="1" ht="12.75" customHeight="1" x14ac:dyDescent="0.25">
      <c r="A36" s="103"/>
      <c r="C36" s="103"/>
      <c r="D36" s="52"/>
      <c r="E36" s="52"/>
      <c r="F36" s="52"/>
      <c r="G36" s="52"/>
      <c r="H36" s="52"/>
      <c r="I36" s="52"/>
      <c r="J36" s="52"/>
      <c r="K36" s="52"/>
      <c r="L36" s="53"/>
      <c r="M36" s="53"/>
      <c r="N36" s="52"/>
    </row>
    <row r="37" spans="1:14" s="61" customFormat="1" ht="12.75" customHeight="1" x14ac:dyDescent="0.25">
      <c r="A37" s="103"/>
      <c r="C37" s="103"/>
      <c r="D37" s="109"/>
      <c r="E37" s="109"/>
      <c r="F37" s="109"/>
      <c r="G37" s="109"/>
      <c r="H37" s="109"/>
      <c r="I37" s="109"/>
      <c r="J37" s="109"/>
      <c r="K37" s="109"/>
      <c r="L37" s="53"/>
      <c r="M37" s="53"/>
      <c r="N37" s="52"/>
    </row>
    <row r="38" spans="1:14" s="61" customFormat="1" ht="12.75" customHeight="1" x14ac:dyDescent="0.25">
      <c r="A38" s="103"/>
      <c r="C38" s="103"/>
      <c r="D38" s="109"/>
      <c r="E38" s="109"/>
      <c r="F38" s="109"/>
      <c r="G38" s="109"/>
      <c r="H38" s="109"/>
      <c r="I38" s="109"/>
      <c r="J38" s="109"/>
      <c r="K38" s="109"/>
      <c r="L38" s="53"/>
      <c r="M38" s="53"/>
      <c r="N38" s="52"/>
    </row>
    <row r="39" spans="1:14" s="61" customFormat="1" ht="12.75" customHeight="1" x14ac:dyDescent="0.25">
      <c r="A39" s="103"/>
      <c r="C39" s="103"/>
      <c r="D39" s="109"/>
      <c r="E39" s="109"/>
      <c r="F39" s="109"/>
      <c r="G39" s="109"/>
      <c r="H39" s="109"/>
      <c r="I39" s="109"/>
      <c r="J39" s="109"/>
      <c r="K39" s="109"/>
      <c r="L39" s="53"/>
      <c r="M39" s="53"/>
      <c r="N39" s="52"/>
    </row>
    <row r="40" spans="1:14" s="61" customFormat="1" ht="12.75" customHeight="1" x14ac:dyDescent="0.25">
      <c r="A40" s="103"/>
      <c r="C40" s="103"/>
      <c r="D40" s="109"/>
      <c r="E40" s="109"/>
      <c r="F40" s="109"/>
      <c r="G40" s="109"/>
      <c r="H40" s="109"/>
      <c r="I40" s="109"/>
      <c r="J40" s="109"/>
      <c r="K40" s="109"/>
      <c r="L40" s="53"/>
      <c r="M40" s="53"/>
      <c r="N40" s="52"/>
    </row>
    <row r="41" spans="1:14" s="61" customFormat="1" ht="12.75" customHeight="1" x14ac:dyDescent="0.25">
      <c r="A41" s="103"/>
      <c r="C41" s="103"/>
      <c r="D41" s="109"/>
      <c r="E41" s="109"/>
      <c r="F41" s="109"/>
      <c r="G41" s="109"/>
      <c r="H41" s="109"/>
      <c r="I41" s="109"/>
      <c r="J41" s="109"/>
      <c r="K41" s="109"/>
      <c r="L41" s="53"/>
      <c r="M41" s="53"/>
      <c r="N41" s="52"/>
    </row>
    <row r="42" spans="1:14" s="61" customFormat="1" ht="12.75" customHeight="1" x14ac:dyDescent="0.25">
      <c r="A42" s="103"/>
      <c r="C42" s="103"/>
      <c r="D42" s="109"/>
      <c r="E42" s="109"/>
      <c r="F42" s="109"/>
      <c r="G42" s="109"/>
      <c r="H42" s="109"/>
      <c r="I42" s="109"/>
      <c r="J42" s="109"/>
      <c r="K42" s="109"/>
      <c r="L42" s="53"/>
      <c r="M42" s="53"/>
      <c r="N42" s="52"/>
    </row>
    <row r="43" spans="1:14" s="61" customFormat="1" ht="12.75" customHeight="1" x14ac:dyDescent="0.25">
      <c r="A43" s="103"/>
      <c r="C43" s="103"/>
      <c r="D43" s="109"/>
      <c r="E43" s="109"/>
      <c r="F43" s="109"/>
      <c r="G43" s="109"/>
      <c r="H43" s="109"/>
      <c r="I43" s="109"/>
      <c r="J43" s="109"/>
      <c r="K43" s="109"/>
      <c r="L43" s="53"/>
      <c r="M43" s="53"/>
      <c r="N43" s="52"/>
    </row>
    <row r="44" spans="1:14" s="61" customFormat="1" ht="12.75" customHeight="1" x14ac:dyDescent="0.25">
      <c r="A44" s="103"/>
      <c r="C44" s="103"/>
      <c r="D44" s="109"/>
      <c r="E44" s="109"/>
      <c r="F44" s="109"/>
      <c r="G44" s="109"/>
      <c r="H44" s="109"/>
      <c r="I44" s="109"/>
      <c r="J44" s="109"/>
      <c r="K44" s="109"/>
      <c r="L44" s="53"/>
      <c r="M44" s="53"/>
      <c r="N44" s="52"/>
    </row>
    <row r="45" spans="1:14" s="61" customFormat="1" ht="12.75" customHeight="1" x14ac:dyDescent="0.25">
      <c r="A45" s="103"/>
      <c r="C45" s="103"/>
      <c r="D45" s="109"/>
      <c r="E45" s="109"/>
      <c r="F45" s="109"/>
      <c r="G45" s="109"/>
      <c r="H45" s="109"/>
      <c r="I45" s="109"/>
      <c r="J45" s="109"/>
      <c r="K45" s="109"/>
      <c r="L45" s="53"/>
      <c r="M45" s="53"/>
      <c r="N45" s="52"/>
    </row>
    <row r="46" spans="1:14" s="61" customFormat="1" ht="12.75" customHeight="1" x14ac:dyDescent="0.25">
      <c r="A46" s="103"/>
      <c r="C46" s="103"/>
      <c r="D46" s="109"/>
      <c r="E46" s="109"/>
      <c r="F46" s="109"/>
      <c r="G46" s="109"/>
      <c r="H46" s="109"/>
      <c r="I46" s="109"/>
      <c r="J46" s="109"/>
      <c r="K46" s="109"/>
      <c r="L46" s="53"/>
      <c r="M46" s="53"/>
      <c r="N46" s="52"/>
    </row>
    <row r="47" spans="1:14" s="61" customFormat="1" ht="12.75" customHeight="1" x14ac:dyDescent="0.25">
      <c r="A47" s="103"/>
      <c r="C47" s="103"/>
      <c r="D47" s="109"/>
      <c r="E47" s="109"/>
      <c r="F47" s="109"/>
      <c r="G47" s="109"/>
      <c r="H47" s="109"/>
      <c r="I47" s="109"/>
      <c r="J47" s="109"/>
      <c r="K47" s="109"/>
      <c r="L47" s="53"/>
      <c r="M47" s="53"/>
      <c r="N47" s="52"/>
    </row>
    <row r="48" spans="1:14" s="61" customFormat="1" ht="12.75" customHeight="1" x14ac:dyDescent="0.25">
      <c r="A48" s="103"/>
      <c r="C48" s="103"/>
      <c r="D48" s="109"/>
      <c r="E48" s="109"/>
      <c r="F48" s="109"/>
      <c r="G48" s="109"/>
      <c r="H48" s="109"/>
      <c r="I48" s="109"/>
      <c r="J48" s="109"/>
      <c r="K48" s="109"/>
      <c r="L48" s="53"/>
      <c r="M48" s="53"/>
      <c r="N48" s="52"/>
    </row>
    <row r="49" spans="1:14" s="61" customFormat="1" ht="12.75" customHeight="1" x14ac:dyDescent="0.25">
      <c r="A49" s="103"/>
      <c r="C49" s="103"/>
      <c r="D49" s="109"/>
      <c r="E49" s="109"/>
      <c r="F49" s="109"/>
      <c r="G49" s="109"/>
      <c r="H49" s="109"/>
      <c r="I49" s="109"/>
      <c r="J49" s="109"/>
      <c r="K49" s="109"/>
      <c r="L49" s="53"/>
      <c r="M49" s="53"/>
      <c r="N49" s="52"/>
    </row>
    <row r="50" spans="1:14" s="61" customFormat="1" ht="12.75" customHeight="1" x14ac:dyDescent="0.25">
      <c r="A50" s="103"/>
      <c r="C50" s="103"/>
      <c r="D50" s="109"/>
      <c r="E50" s="109"/>
      <c r="F50" s="109"/>
      <c r="G50" s="109"/>
      <c r="H50" s="109"/>
      <c r="I50" s="109"/>
      <c r="J50" s="109"/>
      <c r="K50" s="109"/>
      <c r="L50" s="53"/>
      <c r="M50" s="53"/>
      <c r="N50" s="52"/>
    </row>
    <row r="51" spans="1:14" s="61" customFormat="1" ht="12.75" customHeight="1" x14ac:dyDescent="0.25">
      <c r="A51" s="103"/>
      <c r="C51" s="103"/>
      <c r="D51" s="109"/>
      <c r="E51" s="109"/>
      <c r="F51" s="109"/>
      <c r="G51" s="109"/>
      <c r="H51" s="109"/>
      <c r="I51" s="109"/>
      <c r="J51" s="109"/>
      <c r="K51" s="109"/>
      <c r="L51" s="53"/>
      <c r="M51" s="53"/>
      <c r="N51" s="52"/>
    </row>
    <row r="52" spans="1:14" s="61" customFormat="1" ht="12.75" customHeight="1" x14ac:dyDescent="0.25">
      <c r="A52" s="103"/>
      <c r="C52" s="103"/>
      <c r="D52" s="109"/>
      <c r="E52" s="109"/>
      <c r="F52" s="109"/>
      <c r="G52" s="109"/>
      <c r="H52" s="109"/>
      <c r="I52" s="109"/>
      <c r="J52" s="109"/>
      <c r="K52" s="109"/>
      <c r="L52" s="53"/>
      <c r="M52" s="53"/>
      <c r="N52" s="52"/>
    </row>
    <row r="53" spans="1:14" s="61" customFormat="1" ht="12.75" customHeight="1" x14ac:dyDescent="0.25">
      <c r="A53" s="103"/>
      <c r="C53" s="103"/>
      <c r="D53" s="109"/>
      <c r="E53" s="109"/>
      <c r="F53" s="109"/>
      <c r="G53" s="109"/>
      <c r="H53" s="109"/>
      <c r="I53" s="109"/>
      <c r="J53" s="109"/>
      <c r="K53" s="109"/>
      <c r="L53" s="53"/>
      <c r="M53" s="53"/>
      <c r="N53" s="52"/>
    </row>
    <row r="54" spans="1:14" s="61" customFormat="1" ht="12.75" customHeight="1" x14ac:dyDescent="0.25">
      <c r="A54" s="103"/>
      <c r="C54" s="103"/>
      <c r="D54" s="109"/>
      <c r="E54" s="109"/>
      <c r="F54" s="109"/>
      <c r="G54" s="109"/>
      <c r="H54" s="109"/>
      <c r="I54" s="109"/>
      <c r="J54" s="109"/>
      <c r="K54" s="109"/>
      <c r="L54" s="53"/>
      <c r="M54" s="53"/>
      <c r="N54" s="52"/>
    </row>
    <row r="55" spans="1:14" s="61" customFormat="1" ht="12.75" customHeight="1" x14ac:dyDescent="0.25">
      <c r="A55" s="103"/>
      <c r="C55" s="103"/>
      <c r="D55" s="109"/>
      <c r="E55" s="109"/>
      <c r="F55" s="109"/>
      <c r="G55" s="109"/>
      <c r="H55" s="109"/>
      <c r="I55" s="109"/>
      <c r="J55" s="109"/>
      <c r="K55" s="109"/>
      <c r="L55" s="53"/>
      <c r="M55" s="53"/>
      <c r="N55" s="52"/>
    </row>
    <row r="56" spans="1:14" s="61" customFormat="1" ht="12.75" customHeight="1" x14ac:dyDescent="0.25">
      <c r="A56" s="103"/>
      <c r="C56" s="103"/>
      <c r="D56" s="109"/>
      <c r="E56" s="109"/>
      <c r="F56" s="109"/>
      <c r="G56" s="109"/>
      <c r="H56" s="109"/>
      <c r="I56" s="109"/>
      <c r="J56" s="109"/>
      <c r="K56" s="109"/>
      <c r="L56" s="53"/>
      <c r="M56" s="53"/>
      <c r="N56" s="52"/>
    </row>
    <row r="57" spans="1:14" s="61" customFormat="1" ht="12.75" customHeight="1" x14ac:dyDescent="0.25">
      <c r="A57" s="103"/>
      <c r="C57" s="103"/>
      <c r="D57" s="109"/>
      <c r="E57" s="109"/>
      <c r="F57" s="109"/>
      <c r="G57" s="109"/>
      <c r="H57" s="109"/>
      <c r="I57" s="109"/>
      <c r="J57" s="109"/>
      <c r="K57" s="109"/>
      <c r="L57" s="53"/>
      <c r="M57" s="53"/>
      <c r="N57" s="52"/>
    </row>
    <row r="58" spans="1:14" s="61" customFormat="1" ht="12.75" customHeight="1" x14ac:dyDescent="0.25">
      <c r="A58" s="103"/>
      <c r="C58" s="103"/>
      <c r="D58" s="109"/>
      <c r="E58" s="109"/>
      <c r="F58" s="109"/>
      <c r="G58" s="109"/>
      <c r="H58" s="109"/>
      <c r="I58" s="109"/>
      <c r="J58" s="109"/>
      <c r="K58" s="109"/>
      <c r="L58" s="53"/>
      <c r="M58" s="53"/>
      <c r="N58" s="52"/>
    </row>
    <row r="59" spans="1:14" s="61" customFormat="1" ht="12.75" customHeight="1" x14ac:dyDescent="0.25">
      <c r="A59" s="103"/>
      <c r="C59" s="103"/>
      <c r="D59" s="109"/>
      <c r="E59" s="109"/>
      <c r="F59" s="109"/>
      <c r="G59" s="109"/>
      <c r="H59" s="109"/>
      <c r="I59" s="109"/>
      <c r="J59" s="109"/>
      <c r="K59" s="109"/>
      <c r="L59" s="53"/>
      <c r="M59" s="53"/>
      <c r="N59" s="52"/>
    </row>
    <row r="60" spans="1:14" s="61" customFormat="1" ht="12.75" customHeight="1" x14ac:dyDescent="0.25">
      <c r="A60" s="103"/>
      <c r="C60" s="103"/>
      <c r="D60" s="109"/>
      <c r="E60" s="109"/>
      <c r="F60" s="109"/>
      <c r="G60" s="109"/>
      <c r="H60" s="109"/>
      <c r="I60" s="109"/>
      <c r="J60" s="109"/>
      <c r="K60" s="109"/>
      <c r="L60" s="53"/>
      <c r="M60" s="53"/>
      <c r="N60" s="52"/>
    </row>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2">
    <dataValidation type="date" allowBlank="1" showInputMessage="1" showErrorMessage="1" promptTitle="Versionsdatum" prompt="Datum im Format YYYY-MM-DD eintragen." sqref="M8:M2000" xr:uid="{00000000-0002-0000-0800-000000000000}">
      <formula1>DATE(2000,1,1)</formula1>
      <formula2>DATE(2100,12,31)</formula2>
    </dataValidation>
    <dataValidation type="list" allowBlank="1" sqref="L2:L2000"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71"/>
  <sheetViews>
    <sheetView showGridLines="0" tabSelected="1" zoomScaleNormal="100" workbookViewId="0">
      <selection activeCell="J11" sqref="J11"/>
    </sheetView>
  </sheetViews>
  <sheetFormatPr baseColWidth="10" defaultColWidth="11.42578125" defaultRowHeight="14.25" x14ac:dyDescent="0.2"/>
  <cols>
    <col min="1" max="1" width="26.140625" style="36" bestFit="1" customWidth="1"/>
    <col min="2" max="2" width="1.7109375" style="36" customWidth="1"/>
    <col min="3" max="3" width="12.5703125" style="79" customWidth="1"/>
    <col min="4" max="4" width="1.7109375" style="36" customWidth="1"/>
    <col min="5" max="5" width="39.28515625" style="79" customWidth="1"/>
    <col min="6" max="7" width="39.28515625" style="36" customWidth="1"/>
    <col min="8" max="9" width="3.28515625" style="36" bestFit="1" customWidth="1"/>
    <col min="10" max="10" width="22.7109375" style="36" bestFit="1" customWidth="1"/>
    <col min="11" max="11" width="39.28515625" style="36" customWidth="1"/>
    <col min="12" max="12" width="3.28515625" style="36" bestFit="1" customWidth="1"/>
    <col min="13" max="13" width="39.28515625" style="36" customWidth="1"/>
    <col min="14" max="14" width="3.28515625" style="36" bestFit="1" customWidth="1"/>
    <col min="15" max="15" width="53.28515625" style="36" customWidth="1"/>
    <col min="16" max="16" width="3.28515625" style="36" bestFit="1" customWidth="1"/>
    <col min="17" max="17" width="68.5703125" style="36" customWidth="1"/>
    <col min="18" max="28" width="3.28515625" style="36" bestFit="1" customWidth="1"/>
    <col min="29" max="34" width="6.5703125" style="36" customWidth="1"/>
    <col min="35" max="35" width="6.28515625" style="36" bestFit="1" customWidth="1"/>
    <col min="36" max="36" width="6.5703125" style="36" customWidth="1"/>
    <col min="37" max="37" width="5.28515625" style="36" bestFit="1" customWidth="1"/>
    <col min="38" max="54" width="6.5703125" style="36" bestFit="1" customWidth="1"/>
    <col min="55" max="56" width="5.28515625" style="36" bestFit="1" customWidth="1"/>
    <col min="57" max="57" width="6.5703125" style="36" bestFit="1" customWidth="1"/>
    <col min="58" max="58" width="5.28515625" style="36" customWidth="1"/>
    <col min="59" max="60" width="3.85546875" style="36" customWidth="1"/>
    <col min="61" max="61" width="6.42578125" style="81" bestFit="1" customWidth="1"/>
    <col min="62" max="65" width="6.5703125" style="36" customWidth="1"/>
    <col min="66" max="70" width="11.42578125" style="36" customWidth="1"/>
    <col min="71" max="16384" width="11.42578125" style="36"/>
  </cols>
  <sheetData>
    <row r="1" spans="1:65" ht="17.649999999999999" customHeight="1" x14ac:dyDescent="0.2">
      <c r="C1" s="35" t="s">
        <v>192</v>
      </c>
      <c r="E1" s="35" t="s">
        <v>117</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I1" s="35" t="s">
        <v>119</v>
      </c>
      <c r="BJ1" s="35"/>
      <c r="BK1" s="35"/>
      <c r="BL1" s="35"/>
      <c r="BM1" s="35"/>
    </row>
    <row r="2" spans="1:65" s="179" customFormat="1" ht="163.5" customHeight="1" x14ac:dyDescent="0.25">
      <c r="C2" s="78" t="s">
        <v>379</v>
      </c>
      <c r="E2" s="78" t="s">
        <v>380</v>
      </c>
      <c r="F2" s="180" t="str" cm="1">
        <f t="array" ref="F2:BF2">TRANSPOSE([4]Merkmale_Merkmalsgruppen!G8:G60)</f>
        <v>PredefinedType</v>
      </c>
      <c r="G2" s="180" t="str">
        <v>ObjectType</v>
      </c>
      <c r="H2" s="180" t="str">
        <v>Name</v>
      </c>
      <c r="I2" s="180" t="str">
        <v>LongName</v>
      </c>
      <c r="J2" s="180" t="str">
        <v>SIA_416_2003_Code</v>
      </c>
      <c r="K2" s="180" t="str">
        <v>SIA_416_2003_Label</v>
      </c>
      <c r="L2" s="180" t="str">
        <v>SIA_380_2015_Code</v>
      </c>
      <c r="M2" s="180" t="str">
        <v>SIA_380_2015_Label</v>
      </c>
      <c r="N2" s="180" t="str">
        <v>SIA_2024_2021_Code</v>
      </c>
      <c r="O2" s="180" t="str">
        <v>SIA_2024_2021_Label</v>
      </c>
      <c r="P2" s="180" t="str">
        <v>SIA_d0615_2000_Code</v>
      </c>
      <c r="Q2" s="180" t="str">
        <v>SIA_d0615_2000_Label</v>
      </c>
      <c r="R2" s="180" t="str">
        <v>ProgramUse</v>
      </c>
      <c r="S2" s="180" t="str">
        <v>RoomType</v>
      </c>
      <c r="T2" s="180" t="str">
        <v>UnitType</v>
      </c>
      <c r="U2" s="180" t="str">
        <v>Unit_ID</v>
      </c>
      <c r="V2" s="180" t="str">
        <v>RoomNumberFM</v>
      </c>
      <c r="W2" s="180" t="str">
        <v>RoomSignalLabel</v>
      </c>
      <c r="X2" s="180" t="str">
        <v>CleaningGroup</v>
      </c>
      <c r="Y2" s="180" t="str">
        <v>AreaLoad</v>
      </c>
      <c r="Z2" s="180" t="str">
        <v>PointLoad</v>
      </c>
      <c r="AA2" s="180" t="str">
        <v>EnergyReferenceArea</v>
      </c>
      <c r="AB2" s="180" t="str">
        <v>WindowsCleaningArea</v>
      </c>
      <c r="AC2" s="180" t="str">
        <v>WindowsOpenable</v>
      </c>
      <c r="AD2" s="180" t="str">
        <v>Occupant</v>
      </c>
      <c r="AE2" s="180" t="str">
        <v>Shading</v>
      </c>
      <c r="AF2" s="180" t="str">
        <v>IsHumidified</v>
      </c>
      <c r="AG2" s="180" t="str">
        <v>IsDehumidified</v>
      </c>
      <c r="AH2" s="180" t="str">
        <v>IsRentable</v>
      </c>
      <c r="AI2" s="180" t="str">
        <v>IsExternal</v>
      </c>
      <c r="AJ2" s="180" t="str">
        <v>OccupancyType</v>
      </c>
      <c r="AK2" s="180" t="str">
        <v>MinimumHeadroom</v>
      </c>
      <c r="AL2" s="180" t="str">
        <v>OccupancyNumberPeak</v>
      </c>
      <c r="AM2" s="180" t="str">
        <v>OccupancyNumber</v>
      </c>
      <c r="AN2" s="180" t="str">
        <v>FloorCovering</v>
      </c>
      <c r="AO2" s="180" t="str">
        <v>WallCovering</v>
      </c>
      <c r="AP2" s="180" t="str">
        <v>CeilingCovering</v>
      </c>
      <c r="AQ2" s="180" t="str">
        <v>NaturalVentilation</v>
      </c>
      <c r="AR2" s="180" t="str">
        <v>NaturalVentilationRate</v>
      </c>
      <c r="AS2" s="180" t="str">
        <v>MechanicalVentilation</v>
      </c>
      <c r="AT2" s="180" t="str">
        <v>MechanicalVentilationRate</v>
      </c>
      <c r="AU2" s="180" t="str">
        <v>AirConditioning</v>
      </c>
      <c r="AV2" s="180" t="str">
        <v>TemperatureSetPoint</v>
      </c>
      <c r="AW2" s="180" t="str">
        <v>HumiditySetPoint</v>
      </c>
      <c r="AX2" s="180" t="str">
        <v>FireExit</v>
      </c>
      <c r="AY2" s="180" t="str">
        <v>GrossFloorArea</v>
      </c>
      <c r="AZ2" s="180" t="str">
        <v>GrossVolume</v>
      </c>
      <c r="BA2" s="180" t="str">
        <v>NetFloorArea</v>
      </c>
      <c r="BB2" s="180" t="str">
        <v>NetVolume</v>
      </c>
      <c r="BC2" s="180" t="str">
        <v>NetWallArea</v>
      </c>
      <c r="BD2" s="180" t="str">
        <v>Height</v>
      </c>
      <c r="BE2" s="180" t="str">
        <v>AboveGround</v>
      </c>
      <c r="BF2" s="180" t="str">
        <v>CostZone</v>
      </c>
      <c r="BI2" s="78" t="s">
        <v>381</v>
      </c>
      <c r="BJ2" s="180"/>
      <c r="BK2" s="180"/>
      <c r="BL2" s="180"/>
      <c r="BM2" s="180"/>
    </row>
    <row r="3" spans="1:65" ht="17.25" customHeight="1" x14ac:dyDescent="0.2">
      <c r="A3" s="34" t="s">
        <v>6</v>
      </c>
      <c r="B3" s="77"/>
      <c r="D3" s="77"/>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row>
    <row r="4" spans="1:65" s="182" customFormat="1" ht="25.5" customHeight="1" x14ac:dyDescent="0.2">
      <c r="A4" s="41" t="s">
        <v>382</v>
      </c>
      <c r="B4" s="191"/>
      <c r="C4" s="192"/>
      <c r="D4" s="191"/>
      <c r="E4" s="192"/>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I4" s="82"/>
    </row>
    <row r="5" spans="1:65" s="84" customFormat="1" ht="18" customHeight="1" x14ac:dyDescent="0.25">
      <c r="A5" s="47" t="s">
        <v>736</v>
      </c>
      <c r="B5" s="77"/>
      <c r="C5" s="83"/>
      <c r="D5" s="77"/>
      <c r="E5" s="82"/>
      <c r="F5" s="83"/>
      <c r="G5" s="83"/>
      <c r="H5" s="83" t="s">
        <v>391</v>
      </c>
      <c r="I5" s="83" t="s">
        <v>391</v>
      </c>
      <c r="J5" s="83"/>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71"/>
      <c r="BG5" s="82"/>
      <c r="BH5" s="82"/>
      <c r="BI5" s="82"/>
      <c r="BJ5" s="71"/>
      <c r="BK5" s="71"/>
      <c r="BL5" s="71"/>
      <c r="BM5" s="71"/>
    </row>
    <row r="6" spans="1:65" s="81" customFormat="1" x14ac:dyDescent="0.25">
      <c r="A6" s="47" t="s">
        <v>737</v>
      </c>
      <c r="B6" s="77"/>
      <c r="C6" s="83"/>
      <c r="D6" s="77"/>
      <c r="E6" s="82"/>
      <c r="F6" s="83" t="s">
        <v>910</v>
      </c>
      <c r="G6" s="83" t="s">
        <v>911</v>
      </c>
      <c r="H6" s="83"/>
      <c r="I6" s="83"/>
      <c r="J6" s="71">
        <v>1</v>
      </c>
      <c r="K6" s="83" t="s">
        <v>919</v>
      </c>
      <c r="L6" s="83"/>
      <c r="M6" s="83"/>
      <c r="N6" s="83"/>
      <c r="O6" s="83"/>
      <c r="P6" s="83"/>
      <c r="Q6" s="83"/>
      <c r="R6" s="83"/>
      <c r="S6" s="83"/>
      <c r="T6" s="83"/>
      <c r="U6" s="83"/>
      <c r="V6" s="83"/>
      <c r="W6" s="83"/>
      <c r="X6" s="83"/>
      <c r="Y6" s="83"/>
      <c r="Z6" s="83"/>
      <c r="AA6" s="83"/>
      <c r="AB6" s="83"/>
      <c r="AC6" s="83"/>
      <c r="AD6" s="83"/>
      <c r="AE6" s="83"/>
      <c r="AF6" s="83"/>
      <c r="AG6" s="83"/>
      <c r="AH6" s="83"/>
      <c r="AI6" s="83" t="s">
        <v>925</v>
      </c>
      <c r="AJ6" s="83"/>
      <c r="AK6" s="83"/>
      <c r="AL6" s="83"/>
      <c r="AM6" s="83"/>
      <c r="AN6" s="83"/>
      <c r="AO6" s="83"/>
      <c r="AP6" s="83"/>
      <c r="AQ6" s="83"/>
      <c r="AR6" s="83"/>
      <c r="AS6" s="83"/>
      <c r="AT6" s="83"/>
      <c r="AU6" s="83"/>
      <c r="AV6" s="83"/>
      <c r="AW6" s="83"/>
      <c r="AX6" s="83"/>
      <c r="AY6" s="83" t="s">
        <v>391</v>
      </c>
      <c r="AZ6" s="83"/>
      <c r="BA6" s="83"/>
      <c r="BB6" s="83"/>
      <c r="BC6" s="83"/>
      <c r="BD6" s="83"/>
      <c r="BE6" s="83"/>
      <c r="BF6" s="83"/>
      <c r="BG6" s="82"/>
      <c r="BH6" s="82"/>
      <c r="BI6" s="82"/>
      <c r="BJ6" s="83"/>
      <c r="BK6" s="83"/>
      <c r="BL6" s="83"/>
      <c r="BM6" s="83"/>
    </row>
    <row r="7" spans="1:65" s="32" customFormat="1" x14ac:dyDescent="0.25">
      <c r="A7" s="47" t="s">
        <v>738</v>
      </c>
      <c r="B7" s="86"/>
      <c r="C7" s="42"/>
      <c r="D7" s="86"/>
      <c r="E7" s="87"/>
      <c r="F7" s="42" t="s">
        <v>910</v>
      </c>
      <c r="G7" s="42" t="s">
        <v>912</v>
      </c>
      <c r="H7" s="42"/>
      <c r="I7" s="42" t="s">
        <v>391</v>
      </c>
      <c r="J7" s="42" t="s">
        <v>784</v>
      </c>
      <c r="K7" s="42" t="s">
        <v>920</v>
      </c>
      <c r="L7" s="42" t="s">
        <v>391</v>
      </c>
      <c r="M7" s="42"/>
      <c r="N7" s="42"/>
      <c r="O7" s="42"/>
      <c r="P7" s="42"/>
      <c r="Q7" s="42"/>
      <c r="R7" s="42" t="s">
        <v>391</v>
      </c>
      <c r="S7" s="42" t="s">
        <v>391</v>
      </c>
      <c r="T7" s="42"/>
      <c r="U7" s="42" t="s">
        <v>391</v>
      </c>
      <c r="V7" s="42"/>
      <c r="W7" s="42"/>
      <c r="X7" s="42"/>
      <c r="Y7" s="42"/>
      <c r="Z7" s="42"/>
      <c r="AA7" s="42"/>
      <c r="AB7" s="42"/>
      <c r="AC7" s="42"/>
      <c r="AD7" s="42" t="s">
        <v>391</v>
      </c>
      <c r="AE7" s="42"/>
      <c r="AF7" s="42"/>
      <c r="AG7" s="42"/>
      <c r="AH7" s="42"/>
      <c r="AI7" s="83" t="s">
        <v>925</v>
      </c>
      <c r="AJ7" s="42"/>
      <c r="AK7" s="42"/>
      <c r="AL7" s="42"/>
      <c r="AM7" s="42"/>
      <c r="AN7" s="42" t="s">
        <v>391</v>
      </c>
      <c r="AO7" s="42"/>
      <c r="AP7" s="42"/>
      <c r="AQ7" s="42"/>
      <c r="AR7" s="42"/>
      <c r="AS7" s="42"/>
      <c r="AT7" s="42"/>
      <c r="AU7" s="42"/>
      <c r="AV7" s="42"/>
      <c r="AW7" s="42"/>
      <c r="AX7" s="42"/>
      <c r="AY7" s="42" t="s">
        <v>391</v>
      </c>
      <c r="AZ7" s="42"/>
      <c r="BA7" s="42"/>
      <c r="BB7" s="42"/>
      <c r="BC7" s="42"/>
      <c r="BD7" s="42"/>
      <c r="BE7" s="42"/>
      <c r="BF7" s="42" t="s">
        <v>391</v>
      </c>
      <c r="BG7" s="87"/>
      <c r="BH7" s="87"/>
      <c r="BI7" s="87"/>
      <c r="BJ7" s="42"/>
      <c r="BK7" s="42"/>
      <c r="BL7" s="42"/>
      <c r="BM7" s="42"/>
    </row>
    <row r="8" spans="1:65" s="32" customFormat="1" x14ac:dyDescent="0.25">
      <c r="A8" s="47" t="s">
        <v>739</v>
      </c>
      <c r="B8" s="86"/>
      <c r="C8" s="42"/>
      <c r="D8" s="86"/>
      <c r="E8" s="87"/>
      <c r="F8" s="42" t="s">
        <v>913</v>
      </c>
      <c r="G8" s="42"/>
      <c r="H8" s="42"/>
      <c r="I8" s="42"/>
      <c r="J8" s="42" t="s">
        <v>918</v>
      </c>
      <c r="K8" s="85" t="s">
        <v>921</v>
      </c>
      <c r="L8" s="42"/>
      <c r="M8" s="42"/>
      <c r="N8" s="42"/>
      <c r="O8" s="42"/>
      <c r="P8" s="42"/>
      <c r="Q8" s="42"/>
      <c r="R8" s="42" t="s">
        <v>391</v>
      </c>
      <c r="S8" s="42"/>
      <c r="T8" s="42"/>
      <c r="U8" s="42"/>
      <c r="V8" s="42"/>
      <c r="W8" s="42"/>
      <c r="X8" s="42"/>
      <c r="Y8" s="42"/>
      <c r="Z8" s="42"/>
      <c r="AA8" s="42"/>
      <c r="AB8" s="42"/>
      <c r="AC8" s="42"/>
      <c r="AD8" s="42" t="s">
        <v>391</v>
      </c>
      <c r="AE8" s="42"/>
      <c r="AF8" s="42"/>
      <c r="AG8" s="42"/>
      <c r="AH8" s="42"/>
      <c r="AI8" s="42" t="s">
        <v>391</v>
      </c>
      <c r="AJ8" s="42"/>
      <c r="AK8" s="42"/>
      <c r="AL8" s="42"/>
      <c r="AM8" s="42"/>
      <c r="AN8" s="42"/>
      <c r="AO8" s="42"/>
      <c r="AP8" s="42"/>
      <c r="AQ8" s="42"/>
      <c r="AR8" s="42"/>
      <c r="AS8" s="42"/>
      <c r="AT8" s="42"/>
      <c r="AU8" s="42"/>
      <c r="AV8" s="42"/>
      <c r="AW8" s="42"/>
      <c r="AX8" s="42"/>
      <c r="AY8" s="42" t="s">
        <v>391</v>
      </c>
      <c r="AZ8" s="42" t="s">
        <v>391</v>
      </c>
      <c r="BA8" s="42"/>
      <c r="BB8" s="42"/>
      <c r="BC8" s="42"/>
      <c r="BD8" s="42" t="s">
        <v>391</v>
      </c>
      <c r="BE8" s="42" t="s">
        <v>391</v>
      </c>
      <c r="BF8" s="42" t="s">
        <v>391</v>
      </c>
      <c r="BG8" s="87"/>
      <c r="BH8" s="87"/>
      <c r="BI8" s="87"/>
      <c r="BJ8" s="42"/>
      <c r="BK8" s="42"/>
      <c r="BL8" s="42"/>
      <c r="BM8" s="42"/>
    </row>
    <row r="9" spans="1:65" s="32" customFormat="1" ht="344.25" x14ac:dyDescent="0.25">
      <c r="A9" s="47" t="s">
        <v>740</v>
      </c>
      <c r="B9" s="86"/>
      <c r="C9" s="42"/>
      <c r="D9" s="86"/>
      <c r="E9" s="87"/>
      <c r="F9" s="42" t="s">
        <v>910</v>
      </c>
      <c r="G9" s="42" t="s">
        <v>915</v>
      </c>
      <c r="H9" s="42" t="s">
        <v>391</v>
      </c>
      <c r="I9" s="42" t="s">
        <v>391</v>
      </c>
      <c r="J9" s="42" t="s">
        <v>785</v>
      </c>
      <c r="K9" s="42" t="s">
        <v>922</v>
      </c>
      <c r="L9" s="42" t="s">
        <v>391</v>
      </c>
      <c r="M9" s="88" t="s">
        <v>924</v>
      </c>
      <c r="N9" s="42" t="s">
        <v>391</v>
      </c>
      <c r="O9" s="88" t="s">
        <v>928</v>
      </c>
      <c r="P9" s="42" t="s">
        <v>391</v>
      </c>
      <c r="Q9" s="88" t="s">
        <v>786</v>
      </c>
      <c r="R9" s="42" t="s">
        <v>391</v>
      </c>
      <c r="S9" s="42" t="s">
        <v>391</v>
      </c>
      <c r="T9" s="42"/>
      <c r="U9" s="42" t="s">
        <v>391</v>
      </c>
      <c r="V9" s="42" t="s">
        <v>391</v>
      </c>
      <c r="W9" s="42" t="s">
        <v>391</v>
      </c>
      <c r="X9" s="42" t="s">
        <v>391</v>
      </c>
      <c r="Y9" s="42" t="s">
        <v>391</v>
      </c>
      <c r="Z9" s="42" t="s">
        <v>391</v>
      </c>
      <c r="AA9" s="42" t="s">
        <v>391</v>
      </c>
      <c r="AB9" s="42" t="s">
        <v>391</v>
      </c>
      <c r="AC9" s="42" t="s">
        <v>391</v>
      </c>
      <c r="AD9" s="42" t="s">
        <v>391</v>
      </c>
      <c r="AE9" s="42" t="s">
        <v>391</v>
      </c>
      <c r="AF9" s="42" t="s">
        <v>391</v>
      </c>
      <c r="AG9" s="42" t="s">
        <v>391</v>
      </c>
      <c r="AH9" s="42" t="s">
        <v>391</v>
      </c>
      <c r="AI9" s="42" t="s">
        <v>926</v>
      </c>
      <c r="AJ9" s="42" t="s">
        <v>391</v>
      </c>
      <c r="AK9" s="42" t="s">
        <v>391</v>
      </c>
      <c r="AL9" s="42" t="s">
        <v>391</v>
      </c>
      <c r="AM9" s="42" t="s">
        <v>391</v>
      </c>
      <c r="AN9" s="42" t="s">
        <v>391</v>
      </c>
      <c r="AO9" s="42" t="s">
        <v>391</v>
      </c>
      <c r="AP9" s="42" t="s">
        <v>391</v>
      </c>
      <c r="AQ9" s="42" t="s">
        <v>391</v>
      </c>
      <c r="AR9" s="42" t="s">
        <v>391</v>
      </c>
      <c r="AS9" s="42" t="s">
        <v>391</v>
      </c>
      <c r="AT9" s="42" t="s">
        <v>391</v>
      </c>
      <c r="AU9" s="42" t="s">
        <v>391</v>
      </c>
      <c r="AV9" s="42" t="s">
        <v>391</v>
      </c>
      <c r="AW9" s="42" t="s">
        <v>391</v>
      </c>
      <c r="AX9" s="42" t="s">
        <v>391</v>
      </c>
      <c r="AY9" s="42"/>
      <c r="AZ9" s="42"/>
      <c r="BA9" s="42" t="s">
        <v>391</v>
      </c>
      <c r="BB9" s="42" t="s">
        <v>391</v>
      </c>
      <c r="BC9" s="42" t="s">
        <v>391</v>
      </c>
      <c r="BD9" s="42" t="s">
        <v>391</v>
      </c>
      <c r="BE9" s="42" t="s">
        <v>391</v>
      </c>
      <c r="BF9" s="42" t="s">
        <v>391</v>
      </c>
      <c r="BG9" s="87"/>
      <c r="BH9" s="87"/>
      <c r="BI9" s="87"/>
      <c r="BJ9" s="42"/>
      <c r="BK9" s="42"/>
      <c r="BL9" s="42"/>
      <c r="BM9" s="42"/>
    </row>
    <row r="10" spans="1:65" s="32" customFormat="1" x14ac:dyDescent="0.25">
      <c r="A10" s="47" t="s">
        <v>741</v>
      </c>
      <c r="B10" s="86"/>
      <c r="C10" s="42"/>
      <c r="D10" s="86"/>
      <c r="E10" s="87"/>
      <c r="F10" s="42" t="s">
        <v>910</v>
      </c>
      <c r="G10" s="42" t="s">
        <v>916</v>
      </c>
      <c r="H10" s="42" t="s">
        <v>391</v>
      </c>
      <c r="I10" s="42" t="s">
        <v>391</v>
      </c>
      <c r="J10" s="42" t="s">
        <v>787</v>
      </c>
      <c r="K10" s="42" t="s">
        <v>923</v>
      </c>
      <c r="L10" s="42"/>
      <c r="M10" s="42"/>
      <c r="N10" s="42"/>
      <c r="O10" s="42"/>
      <c r="P10" s="42"/>
      <c r="Q10" s="42"/>
      <c r="R10" s="42" t="s">
        <v>391</v>
      </c>
      <c r="S10" s="42" t="s">
        <v>391</v>
      </c>
      <c r="T10" s="42"/>
      <c r="U10" s="42" t="s">
        <v>391</v>
      </c>
      <c r="V10" s="42"/>
      <c r="W10" s="42"/>
      <c r="X10" s="42"/>
      <c r="Y10" s="42"/>
      <c r="Z10" s="42"/>
      <c r="AA10" s="42"/>
      <c r="AB10" s="42"/>
      <c r="AC10" s="42"/>
      <c r="AD10" s="42" t="s">
        <v>391</v>
      </c>
      <c r="AE10" s="42"/>
      <c r="AF10" s="42"/>
      <c r="AG10" s="42"/>
      <c r="AH10" s="42"/>
      <c r="AI10" s="42" t="s">
        <v>925</v>
      </c>
      <c r="AJ10" s="42" t="s">
        <v>391</v>
      </c>
      <c r="AK10" s="42"/>
      <c r="AL10" s="42" t="s">
        <v>391</v>
      </c>
      <c r="AM10" s="42" t="s">
        <v>391</v>
      </c>
      <c r="AN10" s="42" t="s">
        <v>391</v>
      </c>
      <c r="AO10" s="42"/>
      <c r="AP10" s="42"/>
      <c r="AQ10" s="42"/>
      <c r="AR10" s="42"/>
      <c r="AS10" s="42"/>
      <c r="AT10" s="42"/>
      <c r="AU10" s="42"/>
      <c r="AV10" s="42"/>
      <c r="AW10" s="42"/>
      <c r="AX10" s="42"/>
      <c r="AY10" s="42"/>
      <c r="AZ10" s="42"/>
      <c r="BA10" s="42" t="s">
        <v>391</v>
      </c>
      <c r="BB10" s="42"/>
      <c r="BC10" s="42"/>
      <c r="BD10" s="42"/>
      <c r="BE10" s="42" t="s">
        <v>391</v>
      </c>
      <c r="BF10" s="42" t="s">
        <v>391</v>
      </c>
      <c r="BG10" s="87"/>
      <c r="BH10" s="87"/>
      <c r="BI10" s="87"/>
      <c r="BJ10" s="42"/>
      <c r="BK10" s="42"/>
      <c r="BL10" s="42"/>
      <c r="BM10" s="42"/>
    </row>
    <row r="11" spans="1:65" s="32" customFormat="1" x14ac:dyDescent="0.25">
      <c r="A11" s="47" t="s">
        <v>742</v>
      </c>
      <c r="B11" s="86"/>
      <c r="C11" s="42"/>
      <c r="D11" s="86"/>
      <c r="E11" s="87"/>
      <c r="F11" s="42" t="s">
        <v>914</v>
      </c>
      <c r="G11" s="42"/>
      <c r="H11" s="42" t="s">
        <v>391</v>
      </c>
      <c r="I11" s="42" t="s">
        <v>391</v>
      </c>
      <c r="J11" s="42"/>
      <c r="K11" s="42"/>
      <c r="L11" s="42"/>
      <c r="M11" s="42"/>
      <c r="N11" s="42"/>
      <c r="O11" s="42"/>
      <c r="P11" s="42" t="s">
        <v>391</v>
      </c>
      <c r="Q11" s="88" t="s">
        <v>788</v>
      </c>
      <c r="R11" s="42" t="s">
        <v>391</v>
      </c>
      <c r="S11" s="42"/>
      <c r="T11" s="42"/>
      <c r="U11" s="42"/>
      <c r="V11" s="42"/>
      <c r="W11" s="42"/>
      <c r="X11" s="42"/>
      <c r="Y11" s="42"/>
      <c r="Z11" s="42"/>
      <c r="AA11" s="42"/>
      <c r="AB11" s="42"/>
      <c r="AC11" s="42"/>
      <c r="AD11" s="42" t="s">
        <v>391</v>
      </c>
      <c r="AE11" s="42"/>
      <c r="AF11" s="42"/>
      <c r="AG11" s="42"/>
      <c r="AH11" s="42"/>
      <c r="AI11" s="42" t="s">
        <v>391</v>
      </c>
      <c r="AJ11" s="42" t="s">
        <v>391</v>
      </c>
      <c r="AK11" s="42"/>
      <c r="AL11" s="42"/>
      <c r="AM11" s="42"/>
      <c r="AN11" s="42"/>
      <c r="AO11" s="42"/>
      <c r="AP11" s="42"/>
      <c r="AQ11" s="42"/>
      <c r="AR11" s="42"/>
      <c r="AS11" s="42"/>
      <c r="AT11" s="42"/>
      <c r="AU11" s="42"/>
      <c r="AV11" s="42"/>
      <c r="AW11" s="42"/>
      <c r="AX11" s="42"/>
      <c r="AY11" s="42"/>
      <c r="AZ11" s="42"/>
      <c r="BA11" s="42" t="s">
        <v>391</v>
      </c>
      <c r="BB11" s="42"/>
      <c r="BC11" s="42"/>
      <c r="BD11" s="42"/>
      <c r="BE11" s="42"/>
      <c r="BF11" s="42"/>
      <c r="BG11" s="87"/>
      <c r="BH11" s="87"/>
      <c r="BI11" s="87"/>
      <c r="BJ11" s="42"/>
      <c r="BK11" s="42"/>
      <c r="BL11" s="42"/>
      <c r="BM11" s="42"/>
    </row>
    <row r="12" spans="1:65" s="69" customFormat="1" ht="15" customHeight="1" x14ac:dyDescent="0.25">
      <c r="A12" s="47" t="s">
        <v>743</v>
      </c>
      <c r="B12" s="86"/>
      <c r="C12" s="88"/>
      <c r="D12" s="86"/>
      <c r="E12" s="87"/>
      <c r="F12" s="42" t="s">
        <v>910</v>
      </c>
      <c r="G12" s="42" t="s">
        <v>917</v>
      </c>
      <c r="H12" s="88" t="s">
        <v>391</v>
      </c>
      <c r="I12" s="42" t="s">
        <v>391</v>
      </c>
      <c r="J12" s="88"/>
      <c r="K12" s="88"/>
      <c r="L12" s="42"/>
      <c r="M12" s="42"/>
      <c r="N12" s="88"/>
      <c r="O12" s="88"/>
      <c r="P12" s="42"/>
      <c r="Q12" s="42"/>
      <c r="R12" s="88" t="s">
        <v>391</v>
      </c>
      <c r="S12" s="42"/>
      <c r="T12" s="42" t="s">
        <v>391</v>
      </c>
      <c r="U12" s="88" t="s">
        <v>391</v>
      </c>
      <c r="V12" s="88"/>
      <c r="W12" s="88"/>
      <c r="X12" s="88"/>
      <c r="Y12" s="88"/>
      <c r="Z12" s="88"/>
      <c r="AA12" s="88"/>
      <c r="AB12" s="88"/>
      <c r="AC12" s="88"/>
      <c r="AD12" s="88" t="s">
        <v>391</v>
      </c>
      <c r="AE12" s="88"/>
      <c r="AF12" s="88"/>
      <c r="AG12" s="88"/>
      <c r="AH12" s="88" t="s">
        <v>391</v>
      </c>
      <c r="AI12" s="88"/>
      <c r="AJ12" s="88"/>
      <c r="AK12" s="88"/>
      <c r="AL12" s="88" t="s">
        <v>391</v>
      </c>
      <c r="AM12" s="88" t="s">
        <v>391</v>
      </c>
      <c r="AN12" s="88"/>
      <c r="AO12" s="88"/>
      <c r="AP12" s="88"/>
      <c r="AQ12" s="88"/>
      <c r="AR12" s="88"/>
      <c r="AS12" s="88"/>
      <c r="AT12" s="88"/>
      <c r="AU12" s="88"/>
      <c r="AV12" s="88"/>
      <c r="AW12" s="88"/>
      <c r="AX12" s="88"/>
      <c r="AY12" s="88" t="s">
        <v>391</v>
      </c>
      <c r="AZ12" s="88"/>
      <c r="BA12" s="88" t="s">
        <v>391</v>
      </c>
      <c r="BB12" s="88"/>
      <c r="BC12" s="88"/>
      <c r="BD12" s="88"/>
      <c r="BE12" s="88"/>
      <c r="BF12" s="88"/>
      <c r="BG12" s="87"/>
      <c r="BH12" s="87"/>
      <c r="BI12" s="87"/>
      <c r="BJ12" s="88"/>
      <c r="BK12" s="88"/>
      <c r="BL12" s="88"/>
      <c r="BM12" s="88"/>
    </row>
    <row r="13" spans="1:65" ht="14.25" customHeight="1" x14ac:dyDescent="0.25">
      <c r="C13" s="89"/>
      <c r="E13" s="89"/>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I13" s="91"/>
    </row>
    <row r="14" spans="1:65" ht="14.25" customHeight="1" x14ac:dyDescent="0.2">
      <c r="C14" s="89"/>
      <c r="E14" s="89"/>
      <c r="BI14" s="91"/>
    </row>
    <row r="15" spans="1:65" ht="14.25" customHeight="1" x14ac:dyDescent="0.2">
      <c r="C15" s="89"/>
      <c r="E15" s="89"/>
      <c r="BI15" s="91"/>
    </row>
    <row r="16" spans="1:65" ht="14.25" customHeight="1" x14ac:dyDescent="0.2">
      <c r="C16" s="89"/>
      <c r="E16" s="89"/>
      <c r="BI16" s="91"/>
    </row>
    <row r="17" spans="3:61" ht="14.25" customHeight="1" x14ac:dyDescent="0.2">
      <c r="C17" s="89"/>
      <c r="E17" s="89"/>
      <c r="BI17" s="91"/>
    </row>
    <row r="18" spans="3:61" ht="14.25" customHeight="1" x14ac:dyDescent="0.2">
      <c r="C18" s="89"/>
      <c r="E18" s="89"/>
      <c r="BI18" s="91"/>
    </row>
    <row r="19" spans="3:61" ht="14.25" customHeight="1" x14ac:dyDescent="0.2">
      <c r="C19" s="89"/>
      <c r="E19" s="89"/>
      <c r="BI19" s="91"/>
    </row>
    <row r="20" spans="3:61" ht="14.25" customHeight="1" x14ac:dyDescent="0.2">
      <c r="C20" s="89"/>
      <c r="E20" s="89"/>
      <c r="BI20" s="91"/>
    </row>
    <row r="21" spans="3:61" ht="14.25" customHeight="1" x14ac:dyDescent="0.2">
      <c r="C21" s="89"/>
      <c r="E21" s="89"/>
      <c r="BI21" s="91"/>
    </row>
    <row r="22" spans="3:61" ht="14.25" customHeight="1" x14ac:dyDescent="0.2">
      <c r="C22" s="89"/>
      <c r="E22" s="89"/>
      <c r="BI22" s="91"/>
    </row>
    <row r="23" spans="3:61" ht="14.25" customHeight="1" x14ac:dyDescent="0.2">
      <c r="C23" s="89"/>
      <c r="E23" s="89"/>
      <c r="BI23" s="91"/>
    </row>
    <row r="24" spans="3:61" ht="14.25" customHeight="1" x14ac:dyDescent="0.2">
      <c r="C24" s="89"/>
      <c r="E24" s="89"/>
      <c r="BI24" s="91"/>
    </row>
    <row r="25" spans="3:61" ht="14.25" customHeight="1" x14ac:dyDescent="0.2">
      <c r="C25" s="89"/>
      <c r="E25" s="89"/>
      <c r="BI25" s="91"/>
    </row>
    <row r="26" spans="3:61" ht="14.25" customHeight="1" x14ac:dyDescent="0.2">
      <c r="C26" s="89"/>
      <c r="E26" s="89"/>
      <c r="BI26" s="91"/>
    </row>
    <row r="27" spans="3:61" ht="14.25" customHeight="1" x14ac:dyDescent="0.2">
      <c r="C27" s="89"/>
      <c r="E27" s="89"/>
      <c r="BI27" s="91"/>
    </row>
    <row r="28" spans="3:61" ht="14.25" customHeight="1" x14ac:dyDescent="0.2">
      <c r="C28" s="89"/>
      <c r="E28" s="89"/>
      <c r="BI28" s="91"/>
    </row>
    <row r="29" spans="3:61" ht="14.25" customHeight="1" x14ac:dyDescent="0.2">
      <c r="C29" s="89"/>
      <c r="E29" s="89"/>
      <c r="BI29" s="91"/>
    </row>
    <row r="30" spans="3:61" ht="14.25" customHeight="1" x14ac:dyDescent="0.2">
      <c r="C30" s="89"/>
      <c r="E30" s="89"/>
      <c r="BI30" s="91"/>
    </row>
    <row r="31" spans="3:61" ht="14.25" customHeight="1" x14ac:dyDescent="0.2">
      <c r="C31" s="89"/>
      <c r="E31" s="89"/>
      <c r="BI31" s="91"/>
    </row>
    <row r="32" spans="3:61" ht="14.25" customHeight="1" x14ac:dyDescent="0.2">
      <c r="C32" s="89"/>
      <c r="E32" s="89"/>
      <c r="BI32" s="91"/>
    </row>
    <row r="33" spans="3:61" ht="14.25" customHeight="1" x14ac:dyDescent="0.2">
      <c r="C33" s="89"/>
      <c r="E33" s="89"/>
      <c r="BI33" s="91"/>
    </row>
    <row r="34" spans="3:61" ht="14.25" customHeight="1" x14ac:dyDescent="0.2">
      <c r="C34" s="89"/>
      <c r="E34" s="89"/>
      <c r="BI34" s="91"/>
    </row>
    <row r="35" spans="3:61" ht="14.25" customHeight="1" x14ac:dyDescent="0.2">
      <c r="C35" s="89"/>
      <c r="E35" s="89"/>
      <c r="BI35" s="91"/>
    </row>
    <row r="36" spans="3:61" ht="14.25" customHeight="1" x14ac:dyDescent="0.2">
      <c r="C36" s="89"/>
      <c r="E36" s="89"/>
      <c r="BI36" s="91"/>
    </row>
    <row r="37" spans="3:61" ht="14.25" customHeight="1" x14ac:dyDescent="0.2">
      <c r="C37" s="89"/>
      <c r="E37" s="89"/>
      <c r="BI37" s="91"/>
    </row>
    <row r="38" spans="3:61" ht="14.25" customHeight="1" x14ac:dyDescent="0.2">
      <c r="C38" s="89"/>
      <c r="E38" s="89"/>
      <c r="BI38" s="91"/>
    </row>
    <row r="39" spans="3:61" ht="14.25" customHeight="1" x14ac:dyDescent="0.2">
      <c r="C39" s="89"/>
      <c r="E39" s="89"/>
      <c r="BI39" s="91"/>
    </row>
    <row r="40" spans="3:61" ht="14.25" customHeight="1" x14ac:dyDescent="0.2">
      <c r="C40" s="89"/>
      <c r="E40" s="89"/>
      <c r="BI40" s="91"/>
    </row>
    <row r="41" spans="3:61" ht="14.25" customHeight="1" x14ac:dyDescent="0.2">
      <c r="C41" s="89"/>
      <c r="E41" s="89"/>
      <c r="BI41" s="91"/>
    </row>
    <row r="42" spans="3:61" ht="14.25" customHeight="1" x14ac:dyDescent="0.2">
      <c r="C42" s="89"/>
      <c r="E42" s="89"/>
      <c r="BI42" s="91"/>
    </row>
    <row r="43" spans="3:61" ht="14.25" customHeight="1" x14ac:dyDescent="0.2">
      <c r="C43" s="89"/>
      <c r="E43" s="89"/>
      <c r="BI43" s="91"/>
    </row>
    <row r="44" spans="3:61" ht="14.25" customHeight="1" x14ac:dyDescent="0.2">
      <c r="C44" s="89"/>
      <c r="E44" s="89"/>
      <c r="BI44" s="91"/>
    </row>
    <row r="45" spans="3:61" ht="14.25" customHeight="1" x14ac:dyDescent="0.2">
      <c r="C45" s="89"/>
      <c r="E45" s="89"/>
      <c r="BI45" s="91"/>
    </row>
    <row r="46" spans="3:61" ht="14.25" customHeight="1" x14ac:dyDescent="0.2">
      <c r="C46" s="89"/>
      <c r="E46" s="89"/>
      <c r="BI46" s="91"/>
    </row>
    <row r="47" spans="3:61" ht="14.25" customHeight="1" x14ac:dyDescent="0.2">
      <c r="C47" s="89"/>
      <c r="E47" s="89"/>
      <c r="BI47" s="91"/>
    </row>
    <row r="48" spans="3:61" ht="14.25" customHeight="1" x14ac:dyDescent="0.2">
      <c r="C48" s="89"/>
      <c r="E48" s="89"/>
      <c r="BI48" s="91"/>
    </row>
    <row r="49" spans="3:61" ht="14.25" customHeight="1" x14ac:dyDescent="0.2">
      <c r="C49" s="89"/>
      <c r="E49" s="89"/>
      <c r="BI49" s="91"/>
    </row>
    <row r="50" spans="3:61" ht="14.25" customHeight="1" x14ac:dyDescent="0.2">
      <c r="C50" s="89"/>
      <c r="E50" s="89"/>
      <c r="BI50" s="91"/>
    </row>
    <row r="51" spans="3:61" ht="14.25" customHeight="1" x14ac:dyDescent="0.2">
      <c r="C51" s="89"/>
      <c r="E51" s="89"/>
      <c r="BI51" s="91"/>
    </row>
    <row r="52" spans="3:61" ht="14.25" customHeight="1" x14ac:dyDescent="0.2">
      <c r="C52" s="89"/>
      <c r="E52" s="89"/>
      <c r="BI52" s="91"/>
    </row>
    <row r="53" spans="3:61" ht="14.25" customHeight="1" x14ac:dyDescent="0.2">
      <c r="C53" s="89"/>
      <c r="E53" s="89"/>
      <c r="BI53" s="91"/>
    </row>
    <row r="54" spans="3:61" ht="14.25" customHeight="1" x14ac:dyDescent="0.2">
      <c r="C54" s="89"/>
      <c r="E54" s="89"/>
      <c r="BI54" s="91"/>
    </row>
    <row r="55" spans="3:61" ht="14.25" customHeight="1" x14ac:dyDescent="0.2">
      <c r="C55" s="89"/>
      <c r="E55" s="89"/>
      <c r="BI55" s="91"/>
    </row>
    <row r="56" spans="3:61" ht="14.25" customHeight="1" x14ac:dyDescent="0.2">
      <c r="C56" s="89"/>
      <c r="E56" s="89"/>
      <c r="BI56" s="91"/>
    </row>
    <row r="57" spans="3:61" ht="14.25" customHeight="1" x14ac:dyDescent="0.2">
      <c r="C57" s="89"/>
      <c r="E57" s="89"/>
      <c r="BI57" s="91"/>
    </row>
    <row r="58" spans="3:61" ht="14.25" customHeight="1" x14ac:dyDescent="0.2">
      <c r="C58" s="89"/>
      <c r="E58" s="89"/>
      <c r="BI58" s="91"/>
    </row>
    <row r="59" spans="3:61" ht="14.25" customHeight="1" x14ac:dyDescent="0.2">
      <c r="C59" s="89"/>
      <c r="E59" s="89"/>
      <c r="BI59" s="91"/>
    </row>
    <row r="60" spans="3:61" ht="14.25" customHeight="1" x14ac:dyDescent="0.2">
      <c r="C60" s="89"/>
      <c r="E60" s="89"/>
      <c r="BI60" s="91"/>
    </row>
    <row r="62" spans="3:61" ht="14.25" customHeight="1" x14ac:dyDescent="0.2"/>
    <row r="69" ht="25.5" customHeight="1" x14ac:dyDescent="0.2"/>
    <row r="70" ht="25.5" customHeight="1" x14ac:dyDescent="0.2"/>
    <row r="71" ht="14.25" customHeight="1" x14ac:dyDescent="0.2"/>
  </sheetData>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122</v>
      </c>
      <c r="C1" s="4" t="s">
        <v>383</v>
      </c>
      <c r="D1" s="4" t="s">
        <v>384</v>
      </c>
      <c r="E1" s="4" t="s">
        <v>385</v>
      </c>
      <c r="F1" s="4" t="s">
        <v>384</v>
      </c>
      <c r="G1" s="4" t="s">
        <v>386</v>
      </c>
      <c r="H1" s="4" t="s">
        <v>384</v>
      </c>
      <c r="I1" s="5" t="s">
        <v>387</v>
      </c>
      <c r="J1" s="6"/>
      <c r="K1" s="7"/>
      <c r="L1" s="7" t="s">
        <v>388</v>
      </c>
      <c r="M1" s="8"/>
      <c r="N1" s="19" t="s">
        <v>389</v>
      </c>
      <c r="O1" s="26" t="s">
        <v>390</v>
      </c>
      <c r="P1" s="24" t="s">
        <v>390</v>
      </c>
      <c r="Q1" s="25" t="s">
        <v>390</v>
      </c>
      <c r="R1" s="9" t="s">
        <v>391</v>
      </c>
      <c r="S1" s="10"/>
      <c r="T1" s="10"/>
      <c r="U1" s="11" t="s">
        <v>391</v>
      </c>
      <c r="V1" s="12" t="s">
        <v>392</v>
      </c>
      <c r="W1" s="13"/>
      <c r="X1" s="14"/>
      <c r="Y1" s="29" t="s">
        <v>393</v>
      </c>
      <c r="Z1" s="27" t="s">
        <v>394</v>
      </c>
      <c r="AA1" s="13" t="s">
        <v>395</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391</v>
      </c>
      <c r="AW1" s="10"/>
      <c r="AX1" s="10"/>
      <c r="AY1" s="10"/>
      <c r="AZ1" s="10"/>
      <c r="BA1" s="10"/>
      <c r="BB1" s="10"/>
      <c r="BC1" s="10"/>
      <c r="BD1" s="10"/>
      <c r="BE1" s="11" t="str">
        <f t="shared" ref="BE1:BE11" si="0">IF(COUNTIF(AJ1:BD1,"x")&gt;0,"x","")</f>
        <v>x</v>
      </c>
    </row>
    <row r="2" spans="1:57" s="1" customFormat="1" ht="13.15" customHeight="1" x14ac:dyDescent="0.25">
      <c r="A2" s="2"/>
      <c r="B2" s="3" t="s">
        <v>122</v>
      </c>
      <c r="C2" s="4" t="s">
        <v>383</v>
      </c>
      <c r="D2" s="4" t="s">
        <v>384</v>
      </c>
      <c r="E2" s="4" t="s">
        <v>385</v>
      </c>
      <c r="F2" s="4" t="s">
        <v>384</v>
      </c>
      <c r="G2" s="4" t="s">
        <v>386</v>
      </c>
      <c r="H2" s="4" t="s">
        <v>384</v>
      </c>
      <c r="I2" s="5" t="s">
        <v>387</v>
      </c>
      <c r="J2" s="6"/>
      <c r="K2" s="7"/>
      <c r="L2" s="7" t="s">
        <v>396</v>
      </c>
      <c r="M2" s="8"/>
      <c r="N2" s="19" t="s">
        <v>389</v>
      </c>
      <c r="O2" s="26" t="s">
        <v>390</v>
      </c>
      <c r="P2" s="24" t="s">
        <v>390</v>
      </c>
      <c r="Q2" s="25" t="s">
        <v>390</v>
      </c>
      <c r="R2" s="9" t="s">
        <v>391</v>
      </c>
      <c r="S2" s="10"/>
      <c r="T2" s="10"/>
      <c r="U2" s="11" t="s">
        <v>391</v>
      </c>
      <c r="V2" s="12" t="s">
        <v>392</v>
      </c>
      <c r="W2" s="13"/>
      <c r="X2" s="14"/>
      <c r="Y2" s="29" t="s">
        <v>397</v>
      </c>
      <c r="Z2" s="27" t="s">
        <v>398</v>
      </c>
      <c r="AA2" s="13" t="s">
        <v>399</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391</v>
      </c>
      <c r="AW2" s="10"/>
      <c r="AX2" s="10"/>
      <c r="AY2" s="10"/>
      <c r="AZ2" s="10"/>
      <c r="BA2" s="10"/>
      <c r="BB2" s="10"/>
      <c r="BC2" s="10"/>
      <c r="BD2" s="10"/>
      <c r="BE2" s="11" t="str">
        <f t="shared" si="0"/>
        <v>x</v>
      </c>
    </row>
    <row r="3" spans="1:57" s="1" customFormat="1" ht="13.15" customHeight="1" x14ac:dyDescent="0.25">
      <c r="A3" s="2"/>
      <c r="B3" s="3" t="s">
        <v>122</v>
      </c>
      <c r="C3" s="4" t="s">
        <v>383</v>
      </c>
      <c r="D3" s="4" t="s">
        <v>384</v>
      </c>
      <c r="E3" s="4" t="s">
        <v>385</v>
      </c>
      <c r="F3" s="4" t="s">
        <v>384</v>
      </c>
      <c r="G3" s="4" t="s">
        <v>386</v>
      </c>
      <c r="H3" s="4" t="s">
        <v>384</v>
      </c>
      <c r="I3" s="5" t="s">
        <v>387</v>
      </c>
      <c r="J3" s="6"/>
      <c r="K3" s="7"/>
      <c r="L3" s="7" t="s">
        <v>400</v>
      </c>
      <c r="M3" s="8"/>
      <c r="N3" s="19" t="s">
        <v>389</v>
      </c>
      <c r="O3" s="26" t="s">
        <v>390</v>
      </c>
      <c r="P3" s="24" t="s">
        <v>390</v>
      </c>
      <c r="Q3" s="25" t="s">
        <v>390</v>
      </c>
      <c r="R3" s="9" t="s">
        <v>391</v>
      </c>
      <c r="S3" s="10"/>
      <c r="T3" s="10"/>
      <c r="U3" s="11" t="s">
        <v>391</v>
      </c>
      <c r="V3" s="12" t="s">
        <v>401</v>
      </c>
      <c r="W3" s="13"/>
      <c r="X3" s="14"/>
      <c r="Y3" s="29"/>
      <c r="Z3" s="27" t="s">
        <v>402</v>
      </c>
      <c r="AA3" s="13" t="s">
        <v>403</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391</v>
      </c>
      <c r="AW3" s="10"/>
      <c r="AX3" s="10"/>
      <c r="AY3" s="10"/>
      <c r="AZ3" s="10"/>
      <c r="BA3" s="10"/>
      <c r="BB3" s="10"/>
      <c r="BC3" s="10"/>
      <c r="BD3" s="10"/>
      <c r="BE3" s="11" t="str">
        <f t="shared" si="0"/>
        <v>x</v>
      </c>
    </row>
    <row r="4" spans="1:57" s="1" customFormat="1" ht="13.15" customHeight="1" x14ac:dyDescent="0.25">
      <c r="A4" s="2"/>
      <c r="B4" s="3" t="s">
        <v>122</v>
      </c>
      <c r="C4" s="4" t="s">
        <v>383</v>
      </c>
      <c r="D4" s="4" t="s">
        <v>384</v>
      </c>
      <c r="E4" s="4" t="s">
        <v>385</v>
      </c>
      <c r="F4" s="4" t="s">
        <v>384</v>
      </c>
      <c r="G4" s="4" t="s">
        <v>386</v>
      </c>
      <c r="H4" s="4" t="s">
        <v>384</v>
      </c>
      <c r="I4" s="5" t="s">
        <v>387</v>
      </c>
      <c r="J4" s="6"/>
      <c r="K4" s="7"/>
      <c r="L4" s="7" t="s">
        <v>404</v>
      </c>
      <c r="M4" s="8"/>
      <c r="N4" s="19" t="s">
        <v>389</v>
      </c>
      <c r="O4" s="26" t="s">
        <v>390</v>
      </c>
      <c r="P4" s="24" t="s">
        <v>390</v>
      </c>
      <c r="Q4" s="25" t="s">
        <v>390</v>
      </c>
      <c r="R4" s="9" t="s">
        <v>391</v>
      </c>
      <c r="S4" s="10"/>
      <c r="T4" s="10"/>
      <c r="U4" s="11" t="s">
        <v>391</v>
      </c>
      <c r="V4" s="12" t="s">
        <v>401</v>
      </c>
      <c r="W4" s="13"/>
      <c r="X4" s="14"/>
      <c r="Y4" s="29"/>
      <c r="Z4" s="27" t="s">
        <v>405</v>
      </c>
      <c r="AA4" s="13" t="s">
        <v>406</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391</v>
      </c>
      <c r="AW4" s="10"/>
      <c r="AX4" s="10"/>
      <c r="AY4" s="10"/>
      <c r="AZ4" s="10"/>
      <c r="BA4" s="10"/>
      <c r="BB4" s="10"/>
      <c r="BC4" s="10"/>
      <c r="BD4" s="10"/>
      <c r="BE4" s="11" t="str">
        <f t="shared" si="0"/>
        <v>x</v>
      </c>
    </row>
    <row r="5" spans="1:57" s="1" customFormat="1" ht="13.15" customHeight="1" x14ac:dyDescent="0.25">
      <c r="A5" s="2"/>
      <c r="B5" s="3" t="s">
        <v>122</v>
      </c>
      <c r="C5" s="4" t="s">
        <v>383</v>
      </c>
      <c r="D5" s="4" t="s">
        <v>384</v>
      </c>
      <c r="E5" s="4" t="s">
        <v>385</v>
      </c>
      <c r="F5" s="4" t="s">
        <v>384</v>
      </c>
      <c r="G5" s="4" t="s">
        <v>386</v>
      </c>
      <c r="H5" s="4" t="s">
        <v>384</v>
      </c>
      <c r="I5" s="5" t="s">
        <v>387</v>
      </c>
      <c r="J5" s="6"/>
      <c r="K5" s="7"/>
      <c r="L5" s="7" t="s">
        <v>407</v>
      </c>
      <c r="M5" s="8"/>
      <c r="N5" s="19" t="s">
        <v>389</v>
      </c>
      <c r="O5" s="26" t="s">
        <v>390</v>
      </c>
      <c r="P5" s="24" t="s">
        <v>390</v>
      </c>
      <c r="Q5" s="25" t="s">
        <v>390</v>
      </c>
      <c r="R5" s="9" t="s">
        <v>391</v>
      </c>
      <c r="S5" s="10"/>
      <c r="T5" s="10"/>
      <c r="U5" s="11" t="s">
        <v>391</v>
      </c>
      <c r="V5" s="12" t="s">
        <v>392</v>
      </c>
      <c r="W5" s="13"/>
      <c r="X5" s="14"/>
      <c r="Y5" s="29" t="s">
        <v>408</v>
      </c>
      <c r="Z5" s="27" t="s">
        <v>409</v>
      </c>
      <c r="AA5" s="13" t="s">
        <v>410</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391</v>
      </c>
      <c r="AW5" s="10"/>
      <c r="AX5" s="10"/>
      <c r="AY5" s="10"/>
      <c r="AZ5" s="10"/>
      <c r="BA5" s="10"/>
      <c r="BB5" s="10"/>
      <c r="BC5" s="10"/>
      <c r="BD5" s="10"/>
      <c r="BE5" s="11" t="str">
        <f t="shared" si="0"/>
        <v>x</v>
      </c>
    </row>
    <row r="6" spans="1:57" s="1" customFormat="1" ht="13.15" customHeight="1" x14ac:dyDescent="0.25">
      <c r="A6" s="2"/>
      <c r="B6" s="3" t="s">
        <v>122</v>
      </c>
      <c r="C6" s="4" t="s">
        <v>383</v>
      </c>
      <c r="D6" s="4" t="s">
        <v>384</v>
      </c>
      <c r="E6" s="4" t="s">
        <v>385</v>
      </c>
      <c r="F6" s="4" t="s">
        <v>384</v>
      </c>
      <c r="G6" s="4" t="s">
        <v>386</v>
      </c>
      <c r="H6" s="4" t="s">
        <v>384</v>
      </c>
      <c r="I6" s="5" t="s">
        <v>387</v>
      </c>
      <c r="J6" s="6"/>
      <c r="K6" s="7"/>
      <c r="L6" s="7" t="s">
        <v>411</v>
      </c>
      <c r="M6" s="8"/>
      <c r="N6" s="19" t="s">
        <v>389</v>
      </c>
      <c r="O6" s="26" t="s">
        <v>390</v>
      </c>
      <c r="P6" s="24" t="s">
        <v>390</v>
      </c>
      <c r="Q6" s="25" t="s">
        <v>390</v>
      </c>
      <c r="R6" s="9" t="s">
        <v>391</v>
      </c>
      <c r="S6" s="10"/>
      <c r="T6" s="10"/>
      <c r="U6" s="11" t="s">
        <v>391</v>
      </c>
      <c r="V6" s="12" t="s">
        <v>401</v>
      </c>
      <c r="W6" s="13"/>
      <c r="X6" s="14"/>
      <c r="Y6" s="29"/>
      <c r="Z6" s="27" t="s">
        <v>402</v>
      </c>
      <c r="AA6" s="13" t="s">
        <v>403</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391</v>
      </c>
      <c r="AW6" s="10"/>
      <c r="AX6" s="10"/>
      <c r="AY6" s="10"/>
      <c r="AZ6" s="10"/>
      <c r="BA6" s="10"/>
      <c r="BB6" s="10"/>
      <c r="BC6" s="10"/>
      <c r="BD6" s="10"/>
      <c r="BE6" s="11" t="str">
        <f t="shared" si="0"/>
        <v>x</v>
      </c>
    </row>
    <row r="7" spans="1:57" s="1" customFormat="1" ht="13.15" customHeight="1" x14ac:dyDescent="0.25">
      <c r="A7" s="2"/>
      <c r="B7" s="3" t="s">
        <v>122</v>
      </c>
      <c r="C7" s="4" t="s">
        <v>383</v>
      </c>
      <c r="D7" s="4" t="s">
        <v>384</v>
      </c>
      <c r="E7" s="4" t="s">
        <v>385</v>
      </c>
      <c r="F7" s="4" t="s">
        <v>384</v>
      </c>
      <c r="G7" s="4" t="s">
        <v>386</v>
      </c>
      <c r="H7" s="4" t="s">
        <v>384</v>
      </c>
      <c r="I7" s="5" t="s">
        <v>387</v>
      </c>
      <c r="J7" s="6"/>
      <c r="K7" s="7"/>
      <c r="L7" s="7" t="s">
        <v>412</v>
      </c>
      <c r="M7" s="8"/>
      <c r="N7" s="19" t="s">
        <v>389</v>
      </c>
      <c r="O7" s="26" t="s">
        <v>390</v>
      </c>
      <c r="P7" s="24" t="s">
        <v>390</v>
      </c>
      <c r="Q7" s="25" t="s">
        <v>390</v>
      </c>
      <c r="R7" s="9" t="s">
        <v>391</v>
      </c>
      <c r="S7" s="10"/>
      <c r="T7" s="10"/>
      <c r="U7" s="11" t="s">
        <v>391</v>
      </c>
      <c r="V7" s="12" t="s">
        <v>392</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391</v>
      </c>
      <c r="AW7" s="10"/>
      <c r="AX7" s="10"/>
      <c r="AY7" s="10"/>
      <c r="AZ7" s="10"/>
      <c r="BA7" s="10"/>
      <c r="BB7" s="10"/>
      <c r="BC7" s="10"/>
      <c r="BD7" s="10"/>
      <c r="BE7" s="11" t="str">
        <f t="shared" si="0"/>
        <v>x</v>
      </c>
    </row>
    <row r="8" spans="1:57" s="1" customFormat="1" ht="13.15" customHeight="1" x14ac:dyDescent="0.25">
      <c r="A8" s="2"/>
      <c r="B8" s="3" t="s">
        <v>122</v>
      </c>
      <c r="C8" s="4" t="s">
        <v>383</v>
      </c>
      <c r="D8" s="4" t="s">
        <v>384</v>
      </c>
      <c r="E8" s="4" t="s">
        <v>385</v>
      </c>
      <c r="F8" s="4" t="s">
        <v>384</v>
      </c>
      <c r="G8" s="4" t="s">
        <v>386</v>
      </c>
      <c r="H8" s="4" t="s">
        <v>384</v>
      </c>
      <c r="I8" s="5" t="s">
        <v>387</v>
      </c>
      <c r="J8" s="6"/>
      <c r="K8" s="7"/>
      <c r="L8" s="23" t="s">
        <v>413</v>
      </c>
      <c r="M8" s="8"/>
      <c r="N8" s="19" t="s">
        <v>389</v>
      </c>
      <c r="O8" s="26" t="s">
        <v>390</v>
      </c>
      <c r="P8" s="24" t="s">
        <v>390</v>
      </c>
      <c r="Q8" s="25" t="s">
        <v>390</v>
      </c>
      <c r="R8" s="9" t="s">
        <v>391</v>
      </c>
      <c r="S8" s="10"/>
      <c r="T8" s="10"/>
      <c r="U8" s="11" t="s">
        <v>391</v>
      </c>
      <c r="V8" s="12" t="s">
        <v>392</v>
      </c>
      <c r="W8" s="13"/>
      <c r="X8" s="14"/>
      <c r="Y8" s="29" t="s">
        <v>393</v>
      </c>
      <c r="Z8" s="27" t="s">
        <v>414</v>
      </c>
      <c r="AA8" s="13" t="s">
        <v>415</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391</v>
      </c>
      <c r="AW8" s="10"/>
      <c r="AX8" s="10"/>
      <c r="AY8" s="10"/>
      <c r="AZ8" s="10"/>
      <c r="BA8" s="10"/>
      <c r="BB8" s="10"/>
      <c r="BC8" s="10"/>
      <c r="BD8" s="10"/>
      <c r="BE8" s="11" t="str">
        <f t="shared" si="0"/>
        <v>x</v>
      </c>
    </row>
    <row r="9" spans="1:57" s="1" customFormat="1" ht="13.15" customHeight="1" x14ac:dyDescent="0.25">
      <c r="A9" s="2"/>
      <c r="B9" s="3" t="s">
        <v>122</v>
      </c>
      <c r="C9" s="4" t="s">
        <v>383</v>
      </c>
      <c r="D9" s="4" t="s">
        <v>384</v>
      </c>
      <c r="E9" s="4" t="s">
        <v>385</v>
      </c>
      <c r="F9" s="4" t="s">
        <v>384</v>
      </c>
      <c r="G9" s="4" t="s">
        <v>386</v>
      </c>
      <c r="H9" s="4" t="s">
        <v>384</v>
      </c>
      <c r="I9" s="5" t="s">
        <v>387</v>
      </c>
      <c r="J9" s="6"/>
      <c r="K9" s="7"/>
      <c r="L9" s="23" t="s">
        <v>416</v>
      </c>
      <c r="M9" s="8"/>
      <c r="N9" s="19" t="s">
        <v>389</v>
      </c>
      <c r="O9" s="26" t="s">
        <v>390</v>
      </c>
      <c r="P9" s="24" t="s">
        <v>390</v>
      </c>
      <c r="Q9" s="25" t="s">
        <v>390</v>
      </c>
      <c r="R9" s="9" t="s">
        <v>391</v>
      </c>
      <c r="S9" s="10"/>
      <c r="T9" s="10"/>
      <c r="U9" s="11" t="s">
        <v>391</v>
      </c>
      <c r="V9" s="12" t="s">
        <v>401</v>
      </c>
      <c r="W9" s="13"/>
      <c r="X9" s="14"/>
      <c r="Y9" s="29"/>
      <c r="Z9" s="27" t="s">
        <v>405</v>
      </c>
      <c r="AA9" s="13" t="s">
        <v>417</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391</v>
      </c>
      <c r="AW9" s="10"/>
      <c r="AX9" s="10"/>
      <c r="AY9" s="10"/>
      <c r="AZ9" s="10"/>
      <c r="BA9" s="10"/>
      <c r="BB9" s="10"/>
      <c r="BC9" s="10"/>
      <c r="BD9" s="10"/>
      <c r="BE9" s="11" t="str">
        <f t="shared" si="0"/>
        <v>x</v>
      </c>
    </row>
    <row r="10" spans="1:57" s="1" customFormat="1" ht="13.15" customHeight="1" x14ac:dyDescent="0.25">
      <c r="A10" s="2"/>
      <c r="B10" s="3" t="s">
        <v>122</v>
      </c>
      <c r="C10" s="4" t="s">
        <v>383</v>
      </c>
      <c r="D10" s="4" t="s">
        <v>384</v>
      </c>
      <c r="E10" s="4" t="s">
        <v>418</v>
      </c>
      <c r="F10" s="4" t="s">
        <v>384</v>
      </c>
      <c r="G10" s="4" t="s">
        <v>419</v>
      </c>
      <c r="H10" s="4" t="s">
        <v>384</v>
      </c>
      <c r="I10" s="5" t="s">
        <v>387</v>
      </c>
      <c r="J10" s="6"/>
      <c r="K10" s="7"/>
      <c r="L10" s="7" t="s">
        <v>420</v>
      </c>
      <c r="M10" s="8"/>
      <c r="N10" s="19" t="s">
        <v>421</v>
      </c>
      <c r="O10" s="26" t="s">
        <v>390</v>
      </c>
      <c r="P10" s="24" t="s">
        <v>390</v>
      </c>
      <c r="Q10" s="25" t="s">
        <v>390</v>
      </c>
      <c r="R10" s="9" t="s">
        <v>391</v>
      </c>
      <c r="S10" s="10"/>
      <c r="T10" s="10"/>
      <c r="U10" s="11" t="s">
        <v>391</v>
      </c>
      <c r="V10" s="12" t="s">
        <v>422</v>
      </c>
      <c r="W10" s="13"/>
      <c r="X10" s="14"/>
      <c r="Y10" s="29" t="s">
        <v>393</v>
      </c>
      <c r="Z10" s="27" t="s">
        <v>423</v>
      </c>
      <c r="AA10" s="13" t="s">
        <v>390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391</v>
      </c>
      <c r="AW10" s="10"/>
      <c r="AX10" s="10"/>
      <c r="AY10" s="10"/>
      <c r="AZ10" s="10"/>
      <c r="BA10" s="10"/>
      <c r="BB10" s="10"/>
      <c r="BC10" s="10"/>
      <c r="BD10" s="10"/>
      <c r="BE10" s="11" t="str">
        <f t="shared" si="0"/>
        <v>x</v>
      </c>
    </row>
    <row r="11" spans="1:57" s="1" customFormat="1" ht="13.15" customHeight="1" x14ac:dyDescent="0.25">
      <c r="A11" s="2"/>
      <c r="B11" s="3" t="s">
        <v>122</v>
      </c>
      <c r="C11" s="4" t="s">
        <v>383</v>
      </c>
      <c r="D11" s="4" t="s">
        <v>384</v>
      </c>
      <c r="E11" s="4" t="s">
        <v>418</v>
      </c>
      <c r="F11" s="4" t="s">
        <v>384</v>
      </c>
      <c r="G11" s="4" t="s">
        <v>419</v>
      </c>
      <c r="H11" s="4" t="s">
        <v>384</v>
      </c>
      <c r="I11" s="5" t="s">
        <v>387</v>
      </c>
      <c r="J11" s="6"/>
      <c r="K11" s="7"/>
      <c r="L11" s="7" t="s">
        <v>424</v>
      </c>
      <c r="M11" s="8"/>
      <c r="N11" s="19" t="s">
        <v>389</v>
      </c>
      <c r="O11" s="26" t="s">
        <v>390</v>
      </c>
      <c r="P11" s="24" t="s">
        <v>390</v>
      </c>
      <c r="Q11" s="25" t="s">
        <v>390</v>
      </c>
      <c r="R11" s="21" t="s">
        <v>391</v>
      </c>
      <c r="S11" s="22"/>
      <c r="T11" s="10"/>
      <c r="U11" s="11" t="s">
        <v>391</v>
      </c>
      <c r="V11" s="12" t="s">
        <v>422</v>
      </c>
      <c r="W11" s="13"/>
      <c r="X11" s="14"/>
      <c r="Y11" s="29" t="s">
        <v>425</v>
      </c>
      <c r="Z11" s="27" t="s">
        <v>426</v>
      </c>
      <c r="AA11" s="13" t="s">
        <v>390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391</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I47"/>
  <sheetViews>
    <sheetView showGridLines="0" zoomScaleNormal="100" workbookViewId="0">
      <selection activeCell="H30" sqref="H30"/>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5703125" customWidth="1"/>
    <col min="6" max="6" width="37.28515625" style="73" customWidth="1"/>
    <col min="7" max="7" width="15.28515625" customWidth="1"/>
    <col min="8" max="8" width="33.42578125" bestFit="1" customWidth="1"/>
    <col min="9" max="9" width="15.140625" bestFit="1" customWidth="1"/>
  </cols>
  <sheetData>
    <row r="1" spans="1:9" x14ac:dyDescent="0.25">
      <c r="A1" s="189" t="s">
        <v>43</v>
      </c>
      <c r="B1" s="189" t="s">
        <v>348</v>
      </c>
      <c r="C1" s="66" t="s">
        <v>349</v>
      </c>
      <c r="D1" s="67" t="s">
        <v>427</v>
      </c>
      <c r="E1" s="67" t="s">
        <v>428</v>
      </c>
      <c r="F1" s="68" t="s">
        <v>157</v>
      </c>
      <c r="G1" s="189" t="s">
        <v>26</v>
      </c>
      <c r="H1" s="181" t="s">
        <v>370</v>
      </c>
      <c r="I1" s="181" t="s">
        <v>371</v>
      </c>
    </row>
    <row r="2" spans="1:9" s="72" customFormat="1" x14ac:dyDescent="0.25">
      <c r="A2" s="39" t="s">
        <v>429</v>
      </c>
      <c r="B2" s="70" t="s">
        <v>430</v>
      </c>
      <c r="C2" s="39" t="s">
        <v>431</v>
      </c>
      <c r="D2" s="39" t="s">
        <v>432</v>
      </c>
      <c r="E2" s="39" t="s">
        <v>433</v>
      </c>
      <c r="F2" s="71"/>
      <c r="G2" s="70" t="s">
        <v>434</v>
      </c>
      <c r="H2" s="70" t="s">
        <v>435</v>
      </c>
      <c r="I2" s="70" t="s">
        <v>436</v>
      </c>
    </row>
    <row r="3" spans="1:9" s="72" customFormat="1" x14ac:dyDescent="0.25">
      <c r="A3" s="39" t="s">
        <v>437</v>
      </c>
      <c r="B3" s="31" t="s">
        <v>438</v>
      </c>
      <c r="C3" s="39" t="s">
        <v>439</v>
      </c>
      <c r="D3" s="39" t="s">
        <v>440</v>
      </c>
      <c r="E3" s="39" t="s">
        <v>441</v>
      </c>
      <c r="F3" s="71" t="s">
        <v>442</v>
      </c>
      <c r="G3" s="31" t="s">
        <v>443</v>
      </c>
      <c r="H3" s="31" t="s">
        <v>444</v>
      </c>
      <c r="I3" s="31" t="s">
        <v>445</v>
      </c>
    </row>
    <row r="4" spans="1:9" s="69" customFormat="1" x14ac:dyDescent="0.25">
      <c r="A4" s="39" t="s">
        <v>446</v>
      </c>
      <c r="B4" s="31" t="s">
        <v>447</v>
      </c>
      <c r="C4" s="39" t="s">
        <v>448</v>
      </c>
      <c r="D4" s="39" t="s">
        <v>440</v>
      </c>
      <c r="E4" s="39" t="s">
        <v>441</v>
      </c>
      <c r="F4" s="71" t="s">
        <v>449</v>
      </c>
      <c r="G4" t="s">
        <v>450</v>
      </c>
      <c r="H4" s="70" t="s">
        <v>451</v>
      </c>
      <c r="I4" s="70" t="s">
        <v>452</v>
      </c>
    </row>
    <row r="5" spans="1:9" s="69" customFormat="1" x14ac:dyDescent="0.25">
      <c r="A5" s="39" t="s">
        <v>453</v>
      </c>
      <c r="B5" s="31" t="s">
        <v>454</v>
      </c>
      <c r="C5" s="39" t="s">
        <v>455</v>
      </c>
      <c r="D5" s="39" t="s">
        <v>440</v>
      </c>
      <c r="E5" s="39" t="s">
        <v>441</v>
      </c>
      <c r="F5" s="71" t="s">
        <v>456</v>
      </c>
      <c r="G5" t="s">
        <v>457</v>
      </c>
      <c r="H5" s="31" t="s">
        <v>458</v>
      </c>
      <c r="I5" s="31" t="s">
        <v>459</v>
      </c>
    </row>
    <row r="6" spans="1:9" s="69" customFormat="1" x14ac:dyDescent="0.25">
      <c r="A6" s="39" t="s">
        <v>460</v>
      </c>
      <c r="B6" s="31" t="s">
        <v>441</v>
      </c>
      <c r="C6" s="39" t="s">
        <v>461</v>
      </c>
      <c r="D6" s="39" t="s">
        <v>440</v>
      </c>
      <c r="E6" s="39" t="s">
        <v>441</v>
      </c>
      <c r="F6" s="71" t="s">
        <v>462</v>
      </c>
      <c r="G6" t="s">
        <v>463</v>
      </c>
      <c r="H6" s="184"/>
      <c r="I6" s="70"/>
    </row>
    <row r="7" spans="1:9" s="69" customFormat="1" x14ac:dyDescent="0.25">
      <c r="A7" s="39" t="s">
        <v>464</v>
      </c>
      <c r="B7" s="31" t="s">
        <v>465</v>
      </c>
      <c r="C7" s="39" t="s">
        <v>466</v>
      </c>
      <c r="D7" s="39" t="s">
        <v>440</v>
      </c>
      <c r="E7" s="39" t="s">
        <v>441</v>
      </c>
      <c r="F7" s="71" t="s">
        <v>467</v>
      </c>
      <c r="G7" t="s">
        <v>468</v>
      </c>
      <c r="H7" s="184"/>
      <c r="I7" s="31"/>
    </row>
    <row r="8" spans="1:9" s="69" customFormat="1" x14ac:dyDescent="0.25">
      <c r="A8" s="39" t="s">
        <v>469</v>
      </c>
      <c r="B8" t="s">
        <v>470</v>
      </c>
      <c r="C8" s="39" t="s">
        <v>471</v>
      </c>
      <c r="D8" s="39" t="s">
        <v>440</v>
      </c>
      <c r="E8" s="39" t="s">
        <v>441</v>
      </c>
      <c r="F8" s="71" t="s">
        <v>472</v>
      </c>
      <c r="G8" t="s">
        <v>473</v>
      </c>
    </row>
    <row r="9" spans="1:9" s="69" customFormat="1" x14ac:dyDescent="0.25">
      <c r="A9" s="39" t="s">
        <v>474</v>
      </c>
      <c r="C9" s="39" t="s">
        <v>475</v>
      </c>
      <c r="D9" s="39" t="s">
        <v>440</v>
      </c>
      <c r="E9" s="39" t="s">
        <v>441</v>
      </c>
      <c r="F9" s="71" t="s">
        <v>476</v>
      </c>
      <c r="G9" t="s">
        <v>477</v>
      </c>
    </row>
    <row r="10" spans="1:9" s="69" customFormat="1" x14ac:dyDescent="0.25">
      <c r="A10" s="74"/>
      <c r="C10" s="39" t="s">
        <v>478</v>
      </c>
      <c r="D10" s="39" t="s">
        <v>440</v>
      </c>
      <c r="E10" s="39" t="s">
        <v>441</v>
      </c>
      <c r="F10" s="71" t="s">
        <v>479</v>
      </c>
      <c r="G10" t="s">
        <v>480</v>
      </c>
    </row>
    <row r="11" spans="1:9" s="69" customFormat="1" x14ac:dyDescent="0.25">
      <c r="A11" s="74"/>
      <c r="C11" s="39" t="s">
        <v>481</v>
      </c>
      <c r="D11" s="39" t="s">
        <v>440</v>
      </c>
      <c r="E11" s="39" t="s">
        <v>441</v>
      </c>
      <c r="F11" s="71" t="s">
        <v>482</v>
      </c>
    </row>
    <row r="12" spans="1:9" s="69" customFormat="1" x14ac:dyDescent="0.25">
      <c r="A12" s="74"/>
      <c r="C12" s="39" t="s">
        <v>483</v>
      </c>
      <c r="E12" s="39" t="s">
        <v>454</v>
      </c>
      <c r="F12" s="71" t="s">
        <v>484</v>
      </c>
    </row>
    <row r="13" spans="1:9" s="69" customFormat="1" x14ac:dyDescent="0.25">
      <c r="A13" s="74"/>
      <c r="C13" s="39" t="s">
        <v>485</v>
      </c>
      <c r="E13" s="39" t="s">
        <v>454</v>
      </c>
      <c r="F13" s="71" t="s">
        <v>486</v>
      </c>
    </row>
    <row r="14" spans="1:9" s="69" customFormat="1" x14ac:dyDescent="0.25">
      <c r="A14" s="74"/>
      <c r="C14" s="39" t="s">
        <v>487</v>
      </c>
      <c r="E14" s="39" t="s">
        <v>454</v>
      </c>
      <c r="F14" s="71" t="s">
        <v>488</v>
      </c>
    </row>
    <row r="15" spans="1:9" s="69" customFormat="1" x14ac:dyDescent="0.25">
      <c r="A15" s="74"/>
      <c r="C15" s="39" t="s">
        <v>489</v>
      </c>
      <c r="D15" s="39" t="s">
        <v>490</v>
      </c>
      <c r="E15" s="39" t="s">
        <v>454</v>
      </c>
      <c r="F15" s="71" t="s">
        <v>491</v>
      </c>
    </row>
    <row r="16" spans="1:9" s="69" customFormat="1" x14ac:dyDescent="0.25">
      <c r="A16" s="74"/>
      <c r="C16" s="39" t="s">
        <v>492</v>
      </c>
      <c r="D16" s="39" t="s">
        <v>490</v>
      </c>
      <c r="E16" s="39" t="s">
        <v>454</v>
      </c>
      <c r="F16" s="71" t="s">
        <v>493</v>
      </c>
    </row>
    <row r="17" spans="1:6" s="69" customFormat="1" x14ac:dyDescent="0.25">
      <c r="A17" s="74"/>
      <c r="C17" s="39" t="s">
        <v>494</v>
      </c>
      <c r="D17" s="39" t="s">
        <v>490</v>
      </c>
      <c r="E17" s="39" t="s">
        <v>454</v>
      </c>
      <c r="F17" s="71" t="s">
        <v>495</v>
      </c>
    </row>
    <row r="18" spans="1:6" s="69" customFormat="1" x14ac:dyDescent="0.25">
      <c r="A18" s="74"/>
      <c r="C18" s="39" t="s">
        <v>496</v>
      </c>
      <c r="D18" s="39" t="s">
        <v>490</v>
      </c>
      <c r="E18" s="39" t="s">
        <v>454</v>
      </c>
      <c r="F18" s="71" t="s">
        <v>497</v>
      </c>
    </row>
    <row r="19" spans="1:6" s="69" customFormat="1" x14ac:dyDescent="0.25">
      <c r="A19" s="74"/>
      <c r="C19" s="39" t="s">
        <v>498</v>
      </c>
      <c r="D19" s="39" t="s">
        <v>490</v>
      </c>
      <c r="E19" s="39" t="s">
        <v>454</v>
      </c>
      <c r="F19" s="71" t="s">
        <v>499</v>
      </c>
    </row>
    <row r="20" spans="1:6" s="69" customFormat="1" x14ac:dyDescent="0.25">
      <c r="A20" s="74"/>
      <c r="C20" s="39" t="s">
        <v>500</v>
      </c>
      <c r="D20" s="39" t="s">
        <v>490</v>
      </c>
      <c r="E20" s="39" t="s">
        <v>454</v>
      </c>
      <c r="F20" s="71" t="s">
        <v>501</v>
      </c>
    </row>
    <row r="21" spans="1:6" s="69" customFormat="1" x14ac:dyDescent="0.25">
      <c r="A21" s="74"/>
      <c r="C21" s="39" t="s">
        <v>502</v>
      </c>
      <c r="D21" s="39" t="s">
        <v>490</v>
      </c>
      <c r="E21" s="39" t="s">
        <v>454</v>
      </c>
      <c r="F21" s="71" t="s">
        <v>503</v>
      </c>
    </row>
    <row r="22" spans="1:6" s="69" customFormat="1" x14ac:dyDescent="0.25">
      <c r="A22" s="74"/>
      <c r="C22" s="39" t="s">
        <v>504</v>
      </c>
      <c r="D22" s="39" t="s">
        <v>490</v>
      </c>
      <c r="E22" s="39" t="s">
        <v>454</v>
      </c>
      <c r="F22" s="71" t="s">
        <v>505</v>
      </c>
    </row>
    <row r="23" spans="1:6" s="69" customFormat="1" x14ac:dyDescent="0.25">
      <c r="A23" s="74"/>
      <c r="C23" s="39" t="s">
        <v>506</v>
      </c>
      <c r="D23" s="39" t="s">
        <v>490</v>
      </c>
      <c r="E23" s="39" t="s">
        <v>454</v>
      </c>
      <c r="F23" s="71" t="s">
        <v>507</v>
      </c>
    </row>
    <row r="24" spans="1:6" s="69" customFormat="1" x14ac:dyDescent="0.25">
      <c r="A24" s="74"/>
      <c r="C24" s="39" t="s">
        <v>508</v>
      </c>
      <c r="D24" s="39" t="s">
        <v>490</v>
      </c>
      <c r="E24" s="39" t="s">
        <v>454</v>
      </c>
      <c r="F24" s="71" t="s">
        <v>509</v>
      </c>
    </row>
    <row r="25" spans="1:6" s="69" customFormat="1" x14ac:dyDescent="0.25">
      <c r="A25" s="74"/>
      <c r="C25" s="39" t="s">
        <v>510</v>
      </c>
      <c r="D25" s="39" t="s">
        <v>490</v>
      </c>
      <c r="E25" s="39" t="s">
        <v>454</v>
      </c>
      <c r="F25" s="71" t="s">
        <v>511</v>
      </c>
    </row>
    <row r="26" spans="1:6" s="69" customFormat="1" x14ac:dyDescent="0.25">
      <c r="A26" s="74"/>
      <c r="C26" s="39" t="s">
        <v>512</v>
      </c>
      <c r="D26" s="39" t="s">
        <v>513</v>
      </c>
      <c r="E26" s="39" t="s">
        <v>454</v>
      </c>
      <c r="F26" s="71" t="s">
        <v>514</v>
      </c>
    </row>
    <row r="27" spans="1:6" s="69" customFormat="1" x14ac:dyDescent="0.25">
      <c r="A27" s="74"/>
      <c r="C27" s="39" t="s">
        <v>515</v>
      </c>
      <c r="D27" s="39" t="s">
        <v>513</v>
      </c>
      <c r="E27" s="39" t="s">
        <v>454</v>
      </c>
      <c r="F27" s="71" t="s">
        <v>516</v>
      </c>
    </row>
    <row r="28" spans="1:6" s="69" customFormat="1" x14ac:dyDescent="0.25">
      <c r="A28" s="74"/>
      <c r="C28" s="39" t="s">
        <v>517</v>
      </c>
      <c r="D28" s="39" t="s">
        <v>513</v>
      </c>
      <c r="E28" s="39" t="s">
        <v>454</v>
      </c>
      <c r="F28" s="71" t="s">
        <v>518</v>
      </c>
    </row>
    <row r="29" spans="1:6" s="69" customFormat="1" x14ac:dyDescent="0.25">
      <c r="A29" s="74"/>
      <c r="C29" s="74"/>
      <c r="D29" s="74"/>
      <c r="E29" s="74"/>
      <c r="F29" s="75"/>
    </row>
    <row r="30" spans="1:6" s="69" customFormat="1" x14ac:dyDescent="0.25">
      <c r="A30" s="74"/>
      <c r="C30" s="74"/>
      <c r="D30" s="74"/>
      <c r="E30" s="74"/>
      <c r="F30" s="75"/>
    </row>
    <row r="31" spans="1:6" x14ac:dyDescent="0.25">
      <c r="A31" s="74"/>
      <c r="C31" s="74"/>
      <c r="D31" s="74"/>
      <c r="E31" s="74"/>
      <c r="F31" s="75"/>
    </row>
    <row r="32" spans="1:6" x14ac:dyDescent="0.25">
      <c r="A32" s="74"/>
      <c r="C32" s="74"/>
      <c r="D32" s="74"/>
      <c r="E32" s="74"/>
      <c r="F32" s="75"/>
    </row>
    <row r="33" spans="1:6" x14ac:dyDescent="0.25">
      <c r="A33" s="74"/>
      <c r="C33" s="74"/>
      <c r="D33" s="74"/>
      <c r="E33" s="74"/>
      <c r="F33" s="75"/>
    </row>
    <row r="34" spans="1:6" x14ac:dyDescent="0.25">
      <c r="A34" s="74"/>
      <c r="C34" s="74"/>
      <c r="D34" s="74"/>
      <c r="E34" s="74"/>
      <c r="F34" s="75"/>
    </row>
    <row r="35" spans="1:6" x14ac:dyDescent="0.25">
      <c r="A35" s="74"/>
      <c r="C35" s="74"/>
      <c r="D35" s="74"/>
      <c r="E35" s="74"/>
      <c r="F35" s="75"/>
    </row>
    <row r="36" spans="1:6" x14ac:dyDescent="0.25">
      <c r="A36" s="74"/>
      <c r="C36" s="74"/>
      <c r="D36" s="74"/>
      <c r="E36" s="74"/>
      <c r="F36" s="75"/>
    </row>
    <row r="37" spans="1:6" x14ac:dyDescent="0.25">
      <c r="A37" s="74"/>
      <c r="C37" s="74"/>
      <c r="D37" s="74"/>
      <c r="E37" s="74"/>
      <c r="F37" s="75"/>
    </row>
    <row r="38" spans="1:6" x14ac:dyDescent="0.25">
      <c r="A38" s="74"/>
      <c r="C38" s="74"/>
      <c r="D38" s="74"/>
      <c r="E38" s="74"/>
      <c r="F38" s="75"/>
    </row>
    <row r="39" spans="1:6" x14ac:dyDescent="0.25">
      <c r="A39" s="74"/>
      <c r="C39" s="74"/>
      <c r="D39" s="74"/>
      <c r="E39" s="74"/>
      <c r="F39" s="75"/>
    </row>
    <row r="40" spans="1:6" x14ac:dyDescent="0.25">
      <c r="A40" s="74"/>
      <c r="C40" s="74"/>
      <c r="D40" s="74"/>
      <c r="E40" s="74"/>
      <c r="F40" s="75"/>
    </row>
    <row r="41" spans="1:6" x14ac:dyDescent="0.25">
      <c r="A41" s="74"/>
      <c r="C41" s="74"/>
      <c r="D41" s="74"/>
      <c r="E41" s="74"/>
      <c r="F41" s="75"/>
    </row>
    <row r="42" spans="1:6" x14ac:dyDescent="0.25">
      <c r="A42" s="74"/>
      <c r="C42" s="74"/>
      <c r="D42" s="74"/>
      <c r="E42" s="74"/>
      <c r="F42" s="75"/>
    </row>
    <row r="43" spans="1:6" x14ac:dyDescent="0.25">
      <c r="A43" s="74"/>
      <c r="C43" s="74"/>
      <c r="D43" s="74"/>
      <c r="E43" s="74"/>
      <c r="F43" s="75"/>
    </row>
    <row r="44" spans="1:6" x14ac:dyDescent="0.25">
      <c r="A44" s="74"/>
      <c r="C44" s="74"/>
      <c r="D44" s="74"/>
      <c r="E44" s="74"/>
      <c r="F44" s="75"/>
    </row>
    <row r="45" spans="1:6" x14ac:dyDescent="0.25">
      <c r="A45" s="74"/>
      <c r="C45" s="74"/>
      <c r="D45" s="74"/>
      <c r="E45" s="74"/>
      <c r="F45" s="75"/>
    </row>
    <row r="46" spans="1:6" x14ac:dyDescent="0.25">
      <c r="A46" s="74"/>
      <c r="C46" s="74"/>
      <c r="D46" s="74"/>
      <c r="E46" s="74"/>
      <c r="F46" s="75"/>
    </row>
    <row r="47" spans="1:6" x14ac:dyDescent="0.25">
      <c r="A47" s="74"/>
      <c r="C47" s="74"/>
      <c r="D47" s="74"/>
      <c r="E47" s="74"/>
      <c r="F47" s="75"/>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49</vt:i4>
      </vt:variant>
    </vt:vector>
  </HeadingPairs>
  <TitlesOfParts>
    <vt:vector size="61" baseType="lpstr">
      <vt:lpstr>Impressum</vt:lpstr>
      <vt:lpstr>Anleitung</vt:lpstr>
      <vt:lpstr>Dictionary_core</vt:lpstr>
      <vt:lpstr>Dictionary_public</vt:lpstr>
      <vt:lpstr>Objekte</vt:lpstr>
      <vt:lpstr>Merkmale</vt:lpstr>
      <vt:lpstr>Werte</vt:lpstr>
      <vt:lpstr>Dokumente</vt:lpstr>
      <vt:lpstr>Merkmalgruppen</vt:lpstr>
      <vt:lpstr>Data_Template</vt:lpstr>
      <vt:lpstr>Gelöschte Bauteile</vt:lpstr>
      <vt:lpstr>Dropdownregeln</vt:lpstr>
      <vt:lpstr>Base_Type</vt:lpstr>
      <vt:lpstr>Beschreibung</vt:lpstr>
      <vt:lpstr>Category</vt:lpstr>
      <vt:lpstr>DataType</vt:lpstr>
      <vt:lpstr>FAIR_Prinzipien</vt:lpstr>
      <vt:lpstr>Anleitung!GLO_Object_Umsetzung</vt:lpstr>
      <vt:lpstr>Anleitung!GLO_Object_Zuordnung</vt:lpstr>
      <vt:lpstr>Anleitung!GLO_Object10</vt:lpstr>
      <vt:lpstr>Anleitung!GLO_Object11</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vt:lpstr>
      <vt:lpstr>Anleitung!GLO_Object20</vt:lpstr>
      <vt:lpstr>Anleitung!GLO_Object21</vt:lpstr>
      <vt:lpstr>Anleitung!GLO_Object22</vt:lpstr>
      <vt:lpstr>Anleitung!GLO_Object6</vt:lpstr>
      <vt:lpstr>Anleitung!GLO_Object7</vt:lpstr>
      <vt:lpstr>Anleitung!GLO_Object8</vt:lpstr>
      <vt:lpstr>Anleitung!GLO_Object9</vt:lpstr>
      <vt:lpstr>Anleitung!GLO_Property_Umsetzung</vt:lpstr>
      <vt:lpstr>Anleitung!GLO_Property_Zuordnung</vt:lpstr>
      <vt:lpstr>Anleitung!GLO_Property10</vt:lpstr>
      <vt:lpstr>Anleitung!GLO_Property11</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vt:lpstr>
      <vt:lpstr>Anleitung!GLO_Property20</vt:lpstr>
      <vt:lpstr>Anleitung!GLO_Property3</vt:lpstr>
      <vt:lpstr>Anleitung!GLO_Property5</vt:lpstr>
      <vt:lpstr>Anleitung!GLO_Property6</vt:lpstr>
      <vt:lpstr>Anleitung!GLO_Property7</vt:lpstr>
      <vt:lpstr>Anleitung!GLO_Property8</vt:lpstr>
      <vt:lpstr>Anleitung!GLO_Property9</vt:lpstr>
      <vt:lpstr>IFC_Data_Type</vt:lpstr>
      <vt:lpstr>ISG___Informationssicherheitsgesetz</vt:lpstr>
      <vt:lpstr>Objekt_Einordnung</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2026-06-30T12:41:03Z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